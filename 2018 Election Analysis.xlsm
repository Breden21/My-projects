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miss blu\OneDrive\Desktop\Personal Projects\ZEC 2018 Election Results\"/>
    </mc:Choice>
  </mc:AlternateContent>
  <bookViews>
    <workbookView xWindow="0" yWindow="0" windowWidth="20490" windowHeight="7755" activeTab="2"/>
  </bookViews>
  <sheets>
    <sheet name="Home" sheetId="2" r:id="rId1"/>
    <sheet name="Data" sheetId="3" r:id="rId2"/>
    <sheet name="Dashboard" sheetId="5" r:id="rId3"/>
    <sheet name="Pivot tables" sheetId="6" r:id="rId4"/>
  </sheets>
  <definedNames>
    <definedName name="Data_table">Data!$A$4:$J$213</definedName>
    <definedName name="Slicer_Settlement">#N/A</definedName>
    <definedName name="Spoilt_votes">#REF!</definedName>
  </definedNames>
  <calcPr calcId="152511"/>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 i="3" l="1"/>
  <c r="H213" i="3" l="1"/>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0" i="3"/>
  <c r="H9" i="3"/>
  <c r="H8" i="3"/>
  <c r="H7" i="3"/>
  <c r="H6" i="3"/>
  <c r="H5" i="3"/>
  <c r="H4" i="3"/>
</calcChain>
</file>

<file path=xl/sharedStrings.xml><?xml version="1.0" encoding="utf-8"?>
<sst xmlns="http://schemas.openxmlformats.org/spreadsheetml/2006/main" count="700" uniqueCount="243">
  <si>
    <t>Province</t>
  </si>
  <si>
    <t>Constituency</t>
  </si>
  <si>
    <t>Spoilt votes</t>
  </si>
  <si>
    <t>Total votes cast</t>
  </si>
  <si>
    <t>Number of polling stations</t>
  </si>
  <si>
    <t>Bulawayo</t>
  </si>
  <si>
    <t>Byo Central</t>
  </si>
  <si>
    <t>Votes for MDC-A</t>
  </si>
  <si>
    <t>Votes for ZANU-PF</t>
  </si>
  <si>
    <t>Votes for other Parties</t>
  </si>
  <si>
    <t>Byo East</t>
  </si>
  <si>
    <t>Byo South</t>
  </si>
  <si>
    <t>Emakandeni-Entumbane</t>
  </si>
  <si>
    <t>Lobengula</t>
  </si>
  <si>
    <t>Luveve</t>
  </si>
  <si>
    <t>Magwegwe</t>
  </si>
  <si>
    <t>Makokoba</t>
  </si>
  <si>
    <t>Nketa</t>
  </si>
  <si>
    <t>Nkulumane</t>
  </si>
  <si>
    <t>Pelandaba-Mpopoma</t>
  </si>
  <si>
    <t>Pumula</t>
  </si>
  <si>
    <t>Harare</t>
  </si>
  <si>
    <t>Chitungwiza North</t>
  </si>
  <si>
    <t>Chitungwiza South</t>
  </si>
  <si>
    <t>St Mary's</t>
  </si>
  <si>
    <t>Zengeza East</t>
  </si>
  <si>
    <t>Zengeza West</t>
  </si>
  <si>
    <t>Budiriro</t>
  </si>
  <si>
    <t>Dzivarasekwa</t>
  </si>
  <si>
    <t>Epworth</t>
  </si>
  <si>
    <t>Glen Norah</t>
  </si>
  <si>
    <t>Glen View South</t>
  </si>
  <si>
    <t>Glen View North</t>
  </si>
  <si>
    <t>Harare Central</t>
  </si>
  <si>
    <t>Harare East</t>
  </si>
  <si>
    <t>Harare North</t>
  </si>
  <si>
    <t>Harare South</t>
  </si>
  <si>
    <t>Harare West</t>
  </si>
  <si>
    <t>Hatfield</t>
  </si>
  <si>
    <t>Highfield East</t>
  </si>
  <si>
    <t>Highfield West</t>
  </si>
  <si>
    <t>Kambuzuma</t>
  </si>
  <si>
    <t>Kuwadzana</t>
  </si>
  <si>
    <t>Kuwadzana East</t>
  </si>
  <si>
    <t>Mabvuku-Tafara</t>
  </si>
  <si>
    <t>Mbare</t>
  </si>
  <si>
    <t>Mt Pleasant</t>
  </si>
  <si>
    <t>Mufakose</t>
  </si>
  <si>
    <t>Southerton</t>
  </si>
  <si>
    <t>Sunningdale</t>
  </si>
  <si>
    <t>Warren Park</t>
  </si>
  <si>
    <t>Manicaland</t>
  </si>
  <si>
    <t>Buhera North</t>
  </si>
  <si>
    <t>Buhera South</t>
  </si>
  <si>
    <t>Buhera West</t>
  </si>
  <si>
    <t>Chipinge South</t>
  </si>
  <si>
    <t>Chipinge West</t>
  </si>
  <si>
    <t>Musikavanhu</t>
  </si>
  <si>
    <t>Makoni Central</t>
  </si>
  <si>
    <t>Makoni North</t>
  </si>
  <si>
    <t>Makoni South</t>
  </si>
  <si>
    <t>Makoni West</t>
  </si>
  <si>
    <t>Dangamvura/Chikanga</t>
  </si>
  <si>
    <t>Mutare Central</t>
  </si>
  <si>
    <t>Mutare South</t>
  </si>
  <si>
    <t>Mutare North</t>
  </si>
  <si>
    <t>Mutare West</t>
  </si>
  <si>
    <t>Mutasa Central</t>
  </si>
  <si>
    <t>Mutasa North</t>
  </si>
  <si>
    <t>Mutasa South</t>
  </si>
  <si>
    <t>Nyanga North</t>
  </si>
  <si>
    <t>Nyanga South</t>
  </si>
  <si>
    <t>Buhera Central*</t>
  </si>
  <si>
    <t>Chipinge East *</t>
  </si>
  <si>
    <t>Chimanimani West*</t>
  </si>
  <si>
    <t>Chimanimani East*</t>
  </si>
  <si>
    <t>Headlands*</t>
  </si>
  <si>
    <t>Number of wards in constituency</t>
  </si>
  <si>
    <t>Bindura North</t>
  </si>
  <si>
    <t>Mashonaland Central</t>
  </si>
  <si>
    <t>Bindura South</t>
  </si>
  <si>
    <t xml:space="preserve">Guruve North </t>
  </si>
  <si>
    <t>Guruve South</t>
  </si>
  <si>
    <t>Mazowe Central</t>
  </si>
  <si>
    <t>Mazowe North</t>
  </si>
  <si>
    <t>Mazowe South</t>
  </si>
  <si>
    <t>Mazowe West</t>
  </si>
  <si>
    <t>Mbire</t>
  </si>
  <si>
    <t>Mt Darwin East</t>
  </si>
  <si>
    <t>Mt Darwin North</t>
  </si>
  <si>
    <t>Mt Darwin South</t>
  </si>
  <si>
    <t>Mt Darwin West</t>
  </si>
  <si>
    <t>Muzarabani North</t>
  </si>
  <si>
    <t>Muzarabani South</t>
  </si>
  <si>
    <t>Rushinga</t>
  </si>
  <si>
    <t>Shamva North</t>
  </si>
  <si>
    <t>Shamva South</t>
  </si>
  <si>
    <t>Mashonaland East</t>
  </si>
  <si>
    <t>Chikomba Central</t>
  </si>
  <si>
    <t>Chikomba East</t>
  </si>
  <si>
    <t>Chikomba West</t>
  </si>
  <si>
    <t>Goromonzi North</t>
  </si>
  <si>
    <t>Goromonzi South</t>
  </si>
  <si>
    <t>Goromonzi West</t>
  </si>
  <si>
    <t>MarambaPfungwe</t>
  </si>
  <si>
    <t>Uzumba</t>
  </si>
  <si>
    <t>Marondera East</t>
  </si>
  <si>
    <t>Marondera Central</t>
  </si>
  <si>
    <t>Marondera West</t>
  </si>
  <si>
    <t>Mudzi North</t>
  </si>
  <si>
    <t>Mudzi South</t>
  </si>
  <si>
    <t>Mudzi West</t>
  </si>
  <si>
    <t>Murewa North</t>
  </si>
  <si>
    <t>Murewa South</t>
  </si>
  <si>
    <t>Murewa West</t>
  </si>
  <si>
    <t>Mutoko East</t>
  </si>
  <si>
    <t>Mutoko North</t>
  </si>
  <si>
    <t>Mutoko South</t>
  </si>
  <si>
    <t>Seke</t>
  </si>
  <si>
    <t>Wedza North</t>
  </si>
  <si>
    <t>Wedza South</t>
  </si>
  <si>
    <t>Mashonaland West</t>
  </si>
  <si>
    <t>Chegutu East</t>
  </si>
  <si>
    <t>Chegutu West</t>
  </si>
  <si>
    <t>Mhondoro Mubaira</t>
  </si>
  <si>
    <t>Norton</t>
  </si>
  <si>
    <t>Hurungwe Central</t>
  </si>
  <si>
    <t>Hurungwe East</t>
  </si>
  <si>
    <t>Hurungwe North</t>
  </si>
  <si>
    <t>Hurungwe West</t>
  </si>
  <si>
    <t>Magunje</t>
  </si>
  <si>
    <t>Kariba</t>
  </si>
  <si>
    <t>Chinhoyi</t>
  </si>
  <si>
    <t>Makonde</t>
  </si>
  <si>
    <t>Mhangura</t>
  </si>
  <si>
    <t>Chikari</t>
  </si>
  <si>
    <t>Kadoma Central</t>
  </si>
  <si>
    <t>Mhondoro Ngezi</t>
  </si>
  <si>
    <t>Muzvezve</t>
  </si>
  <si>
    <t>Sanyati</t>
  </si>
  <si>
    <t>Zvimba East</t>
  </si>
  <si>
    <t>Zvimba North</t>
  </si>
  <si>
    <t>Zvimba South</t>
  </si>
  <si>
    <t>Zvimba West</t>
  </si>
  <si>
    <t>Masvingo</t>
  </si>
  <si>
    <t>Bikita East</t>
  </si>
  <si>
    <t>Bikita South</t>
  </si>
  <si>
    <t>Bikita West</t>
  </si>
  <si>
    <t>Chiredzi East</t>
  </si>
  <si>
    <t>Chiredzi North</t>
  </si>
  <si>
    <t>Chiredzi South</t>
  </si>
  <si>
    <t>Chivi Central</t>
  </si>
  <si>
    <t>Chivi South</t>
  </si>
  <si>
    <t>Gutu Central</t>
  </si>
  <si>
    <t>Gutu East</t>
  </si>
  <si>
    <t>Gutu North</t>
  </si>
  <si>
    <t>Gutu South</t>
  </si>
  <si>
    <t>Gutu West</t>
  </si>
  <si>
    <t>Masvingo Central</t>
  </si>
  <si>
    <t>Masvingo North</t>
  </si>
  <si>
    <t>Masvingo South</t>
  </si>
  <si>
    <t>Masvingo Urban</t>
  </si>
  <si>
    <t>Masvingo West</t>
  </si>
  <si>
    <t>Mwenezi East</t>
  </si>
  <si>
    <t>Mwenezi West</t>
  </si>
  <si>
    <t>Zaka Central</t>
  </si>
  <si>
    <t>Zaka East</t>
  </si>
  <si>
    <t>Zaka West</t>
  </si>
  <si>
    <t>Zaka North*</t>
  </si>
  <si>
    <t>Chivi North*</t>
  </si>
  <si>
    <t>Chiredzi West*</t>
  </si>
  <si>
    <t>Matebeleland North</t>
  </si>
  <si>
    <t>Binga North</t>
  </si>
  <si>
    <t>Binga South</t>
  </si>
  <si>
    <t>Bubi</t>
  </si>
  <si>
    <t>Hwange Central</t>
  </si>
  <si>
    <t>Hwange East</t>
  </si>
  <si>
    <t>Hwange West</t>
  </si>
  <si>
    <t>Lupane East</t>
  </si>
  <si>
    <t>Lupane West</t>
  </si>
  <si>
    <t>Nkayi North</t>
  </si>
  <si>
    <t>Nkayi South</t>
  </si>
  <si>
    <t>Tsholotsho North</t>
  </si>
  <si>
    <t>Tsholotsho South</t>
  </si>
  <si>
    <t>Umguza</t>
  </si>
  <si>
    <t>Matebeleland South</t>
  </si>
  <si>
    <t>Beitbridge East</t>
  </si>
  <si>
    <t>Beitbridge West</t>
  </si>
  <si>
    <t>Bulilima East</t>
  </si>
  <si>
    <t>Bulilima West</t>
  </si>
  <si>
    <t>Gwanda Central</t>
  </si>
  <si>
    <t>Gwanda North</t>
  </si>
  <si>
    <t>Gwanda South</t>
  </si>
  <si>
    <t>Insiza North</t>
  </si>
  <si>
    <t>Insiza South</t>
  </si>
  <si>
    <t>Mangwe</t>
  </si>
  <si>
    <t xml:space="preserve">Matobo North </t>
  </si>
  <si>
    <t>Matobo South</t>
  </si>
  <si>
    <t>Umzingwane</t>
  </si>
  <si>
    <t>Midlands</t>
  </si>
  <si>
    <t>Chirumanzu</t>
  </si>
  <si>
    <t>Chirumanzu Zibagwe</t>
  </si>
  <si>
    <t>Gokwe Gumunyu</t>
  </si>
  <si>
    <t>Gokwe Kabuguni</t>
  </si>
  <si>
    <t>Gokwe Nembudziya</t>
  </si>
  <si>
    <t xml:space="preserve">Gokwe Central </t>
  </si>
  <si>
    <t>Gokwe Kana</t>
  </si>
  <si>
    <t>Gokwe Mapfungautsi</t>
  </si>
  <si>
    <t>Gokwe Sesame</t>
  </si>
  <si>
    <t>Gokwe Sengwa</t>
  </si>
  <si>
    <t>Chiwundura</t>
  </si>
  <si>
    <t>Gweru Urban</t>
  </si>
  <si>
    <t>Gweru Mkoba</t>
  </si>
  <si>
    <t>Vungu</t>
  </si>
  <si>
    <t>Kwekwe Central</t>
  </si>
  <si>
    <t>Kwekwe Mbizo</t>
  </si>
  <si>
    <t>Redcliff</t>
  </si>
  <si>
    <t>Kwekwe Silobela</t>
  </si>
  <si>
    <t>Zhombe</t>
  </si>
  <si>
    <t>Mberengwa East</t>
  </si>
  <si>
    <t>Mberengwa North</t>
  </si>
  <si>
    <t>Mberengwa South</t>
  </si>
  <si>
    <t>Mberengwa West</t>
  </si>
  <si>
    <t>Shurugwi North</t>
  </si>
  <si>
    <t>Shurugwi South</t>
  </si>
  <si>
    <t>Zvishavane Ngezi</t>
  </si>
  <si>
    <t>Zvishavane Runde</t>
  </si>
  <si>
    <t>Gokwe Chirega*</t>
  </si>
  <si>
    <t>Settlement</t>
  </si>
  <si>
    <t>Rural</t>
  </si>
  <si>
    <t>Rural-Urban</t>
  </si>
  <si>
    <t>Urban</t>
  </si>
  <si>
    <t>Chipinge Central</t>
  </si>
  <si>
    <t>Row Labels</t>
  </si>
  <si>
    <t>Grand Total</t>
  </si>
  <si>
    <t>Sum of Number of wards in constituency</t>
  </si>
  <si>
    <t>Sum of Votes for other Parties</t>
  </si>
  <si>
    <t>Count of Constituency</t>
  </si>
  <si>
    <t>Sum of Votes for MDC-A</t>
  </si>
  <si>
    <t>Sum of Votes for ZANU-PF</t>
  </si>
  <si>
    <t>2018 Zimbabwe Presidental Election Results</t>
  </si>
  <si>
    <t xml:space="preserve"> </t>
  </si>
  <si>
    <t>Percentage contribution</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</si>
</sst>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4"/>
      <color theme="1"/>
      <name val="Calibri"/>
      <family val="2"/>
      <scheme val="minor"/>
    </font>
    <font>
      <sz val="11"/>
      <color theme="0" tint="-4.9989318521683403E-2"/>
      <name val="Calibri"/>
      <family val="2"/>
      <scheme val="minor"/>
    </font>
    <font>
      <b/>
      <sz val="11"/>
      <color theme="0"/>
      <name val="Calibri"/>
      <family val="2"/>
      <scheme val="minor"/>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0" tint="-0.14999847407452621"/>
        <bgColor theme="0" tint="-0.14999847407452621"/>
      </patternFill>
    </fill>
    <fill>
      <patternFill patternType="solid">
        <fgColor theme="6"/>
        <bgColor theme="6"/>
      </patternFill>
    </fill>
  </fills>
  <borders count="2">
    <border>
      <left/>
      <right/>
      <top/>
      <bottom/>
      <diagonal/>
    </border>
    <border>
      <left/>
      <right/>
      <top style="medium">
        <color theme="1"/>
      </top>
      <bottom/>
      <diagonal/>
    </border>
  </borders>
  <cellStyleXfs count="1">
    <xf numFmtId="0" fontId="0" fillId="0" borderId="0"/>
  </cellStyleXfs>
  <cellXfs count="18">
    <xf numFmtId="0" fontId="0" fillId="0" borderId="0" xfId="0"/>
    <xf numFmtId="0" fontId="1" fillId="0" borderId="0" xfId="0" applyFont="1"/>
    <xf numFmtId="0" fontId="0" fillId="2" borderId="0" xfId="0" applyFill="1"/>
    <xf numFmtId="0" fontId="0" fillId="0" borderId="0" xfId="0" applyAlignment="1">
      <alignment wrapText="1"/>
    </xf>
    <xf numFmtId="0" fontId="0" fillId="0" borderId="0" xfId="0" applyNumberFormat="1"/>
    <xf numFmtId="0" fontId="0" fillId="3" borderId="0" xfId="0" applyFill="1"/>
    <xf numFmtId="0" fontId="0" fillId="0" borderId="0" xfId="0" pivotButton="1"/>
    <xf numFmtId="0" fontId="0" fillId="0" borderId="0" xfId="0" applyAlignment="1">
      <alignment horizontal="left"/>
    </xf>
    <xf numFmtId="0" fontId="2" fillId="3" borderId="0" xfId="0" applyFont="1" applyFill="1"/>
    <xf numFmtId="10" fontId="0" fillId="0" borderId="0" xfId="0" applyNumberFormat="1" applyAlignment="1">
      <alignment wrapText="1"/>
    </xf>
    <xf numFmtId="0" fontId="0" fillId="3" borderId="0" xfId="0" applyFill="1" applyProtection="1">
      <protection locked="0"/>
    </xf>
    <xf numFmtId="0" fontId="0" fillId="4" borderId="0" xfId="0" applyFont="1" applyFill="1"/>
    <xf numFmtId="0" fontId="0" fillId="0" borderId="0" xfId="0" applyFont="1"/>
    <xf numFmtId="0" fontId="0" fillId="4" borderId="0" xfId="0" applyFont="1" applyFill="1" applyAlignment="1">
      <alignment wrapText="1"/>
    </xf>
    <xf numFmtId="0" fontId="0" fillId="4" borderId="1" xfId="0" applyFont="1" applyFill="1" applyBorder="1"/>
    <xf numFmtId="0" fontId="3" fillId="5" borderId="0" xfId="0" applyFont="1" applyFill="1" applyBorder="1" applyAlignment="1">
      <alignment horizontal="center" vertical="center"/>
    </xf>
    <xf numFmtId="0" fontId="3" fillId="5" borderId="0" xfId="0" applyFont="1" applyFill="1" applyBorder="1" applyAlignment="1">
      <alignment horizontal="center" vertical="center" wrapText="1"/>
    </xf>
    <xf numFmtId="0" fontId="0" fillId="0" borderId="0" xfId="0" applyFont="1" applyBorder="1"/>
  </cellXfs>
  <cellStyles count="1">
    <cellStyle name="Normal" xfId="0" builtinId="0"/>
  </cellStyles>
  <dxfs count="15">
    <dxf>
      <font>
        <b/>
        <i val="0"/>
        <strike val="0"/>
        <condense val="0"/>
        <extend val="0"/>
        <outline val="0"/>
        <shadow val="0"/>
        <u val="none"/>
        <vertAlign val="baseline"/>
        <sz val="11"/>
        <color theme="0"/>
        <name val="Calibri"/>
        <scheme val="minor"/>
      </font>
      <fill>
        <patternFill patternType="solid">
          <fgColor theme="6"/>
          <bgColor theme="6"/>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outline="0">
        <top style="medium">
          <color theme="1"/>
        </top>
        <bottom style="medium">
          <color theme="1"/>
        </bottom>
      </border>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[2018 results analysis.xlsm]Pivot tables!PivotTable9</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Votes</a:t>
            </a:r>
            <a:r>
              <a:rPr lang="en-US" baseline="0"/>
              <a:t> by province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pivotFmt>
      <c:pivotFmt>
        <c:idx val="1"/>
        <c:spPr>
          <a:solidFill>
            <a:srgbClr val="FF0000"/>
          </a:solidFill>
          <a:ln>
            <a:noFill/>
          </a:ln>
          <a:effectLst/>
        </c:spPr>
        <c:marker>
          <c:symbol val="none"/>
        </c:marker>
      </c:pivotFmt>
      <c:pivotFmt>
        <c:idx val="2"/>
        <c:spPr>
          <a:solidFill>
            <a:srgbClr val="00B050"/>
          </a:solidFill>
          <a:ln>
            <a:noFill/>
          </a:ln>
          <a:effectLst/>
        </c:spPr>
        <c:marker>
          <c:symbol val="none"/>
        </c:marker>
      </c:pivotFmt>
      <c:pivotFmt>
        <c:idx val="3"/>
        <c:spPr>
          <a:solidFill>
            <a:srgbClr val="FF0000"/>
          </a:solidFill>
          <a:ln>
            <a:noFill/>
          </a:ln>
          <a:effectLst/>
        </c:spPr>
        <c:marker>
          <c:symbol val="none"/>
        </c:marker>
      </c:pivotFmt>
      <c:pivotFmt>
        <c:idx val="4"/>
        <c:spPr>
          <a:solidFill>
            <a:srgbClr val="00B050"/>
          </a:solidFill>
          <a:ln>
            <a:noFill/>
          </a:ln>
          <a:effectLst/>
        </c:spPr>
        <c:marker>
          <c:symbol val="none"/>
        </c:marker>
      </c:pivotFmt>
      <c:pivotFmt>
        <c:idx val="5"/>
        <c:spPr>
          <a:solidFill>
            <a:srgbClr val="FFFF00"/>
          </a:solidFill>
          <a:ln>
            <a:noFill/>
          </a:ln>
          <a:effectLst/>
        </c:spPr>
        <c:marker>
          <c:symbol val="none"/>
        </c:marker>
      </c:pivotFmt>
    </c:pivotFmts>
    <c:plotArea>
      <c:layout>
        <c:manualLayout>
          <c:layoutTarget val="inner"/>
          <c:xMode val="edge"/>
          <c:yMode val="edge"/>
          <c:x val="0.36728014601623071"/>
          <c:y val="0.14553990610328638"/>
          <c:w val="0.4204267271019167"/>
          <c:h val="0.73989057705814942"/>
        </c:manualLayout>
      </c:layout>
      <c:barChart>
        <c:barDir val="bar"/>
        <c:grouping val="clustered"/>
        <c:varyColors val="0"/>
        <c:ser>
          <c:idx val="0"/>
          <c:order val="0"/>
          <c:tx>
            <c:strRef>
              <c:f>'Pivot tables'!$B$4</c:f>
              <c:strCache>
                <c:ptCount val="1"/>
                <c:pt idx="0">
                  <c:v>Sum of Votes for ZANU-PF</c:v>
                </c:pt>
              </c:strCache>
            </c:strRef>
          </c:tx>
          <c:spPr>
            <a:solidFill>
              <a:srgbClr val="00B050"/>
            </a:solidFill>
            <a:ln>
              <a:noFill/>
            </a:ln>
            <a:effectLst/>
          </c:spPr>
          <c:invertIfNegative val="0"/>
          <c:cat>
            <c:strRef>
              <c:f>'Pivot tables'!$A$5:$A$15</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'Pivot tables'!$B$5:$B$15</c:f>
              <c:numCache>
                <c:formatCode>General</c:formatCode>
                <c:ptCount val="10"/>
                <c:pt idx="0">
                  <c:v>60168</c:v>
                </c:pt>
                <c:pt idx="1">
                  <c:v>204719</c:v>
                </c:pt>
                <c:pt idx="2">
                  <c:v>292938</c:v>
                </c:pt>
                <c:pt idx="3">
                  <c:v>359576</c:v>
                </c:pt>
                <c:pt idx="4">
                  <c:v>334617</c:v>
                </c:pt>
                <c:pt idx="5">
                  <c:v>314541</c:v>
                </c:pt>
                <c:pt idx="6">
                  <c:v>318964</c:v>
                </c:pt>
                <c:pt idx="7">
                  <c:v>111452</c:v>
                </c:pt>
                <c:pt idx="8">
                  <c:v>107278</c:v>
                </c:pt>
                <c:pt idx="9">
                  <c:v>352027</c:v>
                </c:pt>
              </c:numCache>
            </c:numRef>
          </c:val>
        </c:ser>
        <c:ser>
          <c:idx val="1"/>
          <c:order val="1"/>
          <c:tx>
            <c:strRef>
              <c:f>'Pivot tables'!$C$4</c:f>
              <c:strCache>
                <c:ptCount val="1"/>
                <c:pt idx="0">
                  <c:v>Sum of Votes for MDC-A</c:v>
                </c:pt>
              </c:strCache>
            </c:strRef>
          </c:tx>
          <c:spPr>
            <a:solidFill>
              <a:srgbClr val="FFFF00"/>
            </a:solidFill>
            <a:ln>
              <a:noFill/>
            </a:ln>
            <a:effectLst/>
          </c:spPr>
          <c:invertIfNegative val="0"/>
          <c:cat>
            <c:strRef>
              <c:f>'Pivot tables'!$A$5:$A$15</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'Pivot tables'!$C$5:$C$15</c:f>
              <c:numCache>
                <c:formatCode>General</c:formatCode>
                <c:ptCount val="10"/>
                <c:pt idx="0">
                  <c:v>144107</c:v>
                </c:pt>
                <c:pt idx="1">
                  <c:v>548895</c:v>
                </c:pt>
                <c:pt idx="2">
                  <c:v>296429</c:v>
                </c:pt>
                <c:pt idx="3">
                  <c:v>96063</c:v>
                </c:pt>
                <c:pt idx="4">
                  <c:v>189021</c:v>
                </c:pt>
                <c:pt idx="5">
                  <c:v>220111</c:v>
                </c:pt>
                <c:pt idx="6">
                  <c:v>171438</c:v>
                </c:pt>
                <c:pt idx="7">
                  <c:v>137611</c:v>
                </c:pt>
                <c:pt idx="8">
                  <c:v>90292</c:v>
                </c:pt>
                <c:pt idx="9">
                  <c:v>257960</c:v>
                </c:pt>
              </c:numCache>
            </c:numRef>
          </c:val>
        </c:ser>
        <c:dLbls>
          <c:showLegendKey val="0"/>
          <c:showVal val="0"/>
          <c:showCatName val="0"/>
          <c:showSerName val="0"/>
          <c:showPercent val="0"/>
          <c:showBubbleSize val="0"/>
        </c:dLbls>
        <c:gapWidth val="62"/>
        <c:axId val="1884959264"/>
        <c:axId val="1884959808"/>
      </c:barChart>
      <c:catAx>
        <c:axId val="18849592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Province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959808"/>
        <c:crosses val="autoZero"/>
        <c:auto val="1"/>
        <c:lblAlgn val="ctr"/>
        <c:lblOffset val="100"/>
        <c:noMultiLvlLbl val="0"/>
      </c:catAx>
      <c:valAx>
        <c:axId val="18849598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Votes in Thousands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959264"/>
        <c:crosses val="autoZero"/>
        <c:crossBetween val="between"/>
        <c:dispUnits>
          <c:builtInUnit val="thousands"/>
        </c:dispUnits>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[2018 results analysis.xlsm]Pivot tables!PivotTable13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wards</a:t>
            </a:r>
            <a:r>
              <a:rPr lang="en-US" baseline="0"/>
              <a:t> per province</a:t>
            </a:r>
            <a:endParaRPr lang="en-US"/>
          </a:p>
        </c:rich>
      </c:tx>
      <c:layout>
        <c:manualLayout>
          <c:xMode val="edge"/>
          <c:yMode val="edge"/>
          <c:x val="0.19439151356080489"/>
          <c:y val="2.39866460207118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85000"/>
              <a:lumOff val="15000"/>
            </a:schemeClr>
          </a:solidFill>
          <a:ln>
            <a:noFill/>
          </a:ln>
          <a:effectLst/>
        </c:spPr>
        <c:marker>
          <c:symbol val="none"/>
        </c:marker>
      </c:pivotFmt>
      <c:pivotFmt>
        <c:idx val="4"/>
        <c:spPr>
          <a:solidFill>
            <a:schemeClr val="tx1">
              <a:lumMod val="85000"/>
              <a:lumOff val="15000"/>
            </a:schemeClr>
          </a:solidFill>
          <a:ln>
            <a:noFill/>
          </a:ln>
          <a:effectLst/>
        </c:spPr>
        <c:marker>
          <c:symbol val="none"/>
        </c:marker>
      </c:pivotFmt>
    </c:pivotFmts>
    <c:plotArea>
      <c:layout/>
      <c:barChart>
        <c:barDir val="bar"/>
        <c:grouping val="clustered"/>
        <c:varyColors val="0"/>
        <c:ser>
          <c:idx val="0"/>
          <c:order val="0"/>
          <c:tx>
            <c:strRef>
              <c:f>'Pivot tables'!$B$33</c:f>
              <c:strCache>
                <c:ptCount val="1"/>
                <c:pt idx="0">
                  <c:v>Total</c:v>
                </c:pt>
              </c:strCache>
            </c:strRef>
          </c:tx>
          <c:spPr>
            <a:solidFill>
              <a:schemeClr val="tx1">
                <a:lumMod val="85000"/>
                <a:lumOff val="15000"/>
              </a:schemeClr>
            </a:solidFill>
            <a:ln>
              <a:noFill/>
            </a:ln>
            <a:effectLst/>
          </c:spPr>
          <c:invertIfNegative val="0"/>
          <c:cat>
            <c:strRef>
              <c:f>'Pivot tables'!$A$34:$A$44</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'Pivot tables'!$B$34:$B$44</c:f>
              <c:numCache>
                <c:formatCode>General</c:formatCode>
                <c:ptCount val="10"/>
                <c:pt idx="0">
                  <c:v>29</c:v>
                </c:pt>
                <c:pt idx="1">
                  <c:v>78</c:v>
                </c:pt>
                <c:pt idx="2">
                  <c:v>259</c:v>
                </c:pt>
                <c:pt idx="3">
                  <c:v>232</c:v>
                </c:pt>
                <c:pt idx="4">
                  <c:v>227</c:v>
                </c:pt>
                <c:pt idx="5">
                  <c:v>231</c:v>
                </c:pt>
                <c:pt idx="6">
                  <c:v>239</c:v>
                </c:pt>
                <c:pt idx="7">
                  <c:v>192</c:v>
                </c:pt>
                <c:pt idx="8">
                  <c:v>166</c:v>
                </c:pt>
                <c:pt idx="9">
                  <c:v>295</c:v>
                </c:pt>
              </c:numCache>
            </c:numRef>
          </c:val>
        </c:ser>
        <c:dLbls>
          <c:showLegendKey val="0"/>
          <c:showVal val="0"/>
          <c:showCatName val="0"/>
          <c:showSerName val="0"/>
          <c:showPercent val="0"/>
          <c:showBubbleSize val="0"/>
        </c:dLbls>
        <c:gapWidth val="91"/>
        <c:axId val="1884960352"/>
        <c:axId val="1784473328"/>
      </c:barChart>
      <c:catAx>
        <c:axId val="18849603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Province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473328"/>
        <c:crosses val="autoZero"/>
        <c:auto val="1"/>
        <c:lblAlgn val="ctr"/>
        <c:lblOffset val="100"/>
        <c:noMultiLvlLbl val="0"/>
      </c:catAx>
      <c:valAx>
        <c:axId val="1784473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wards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9603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[2018 results analysis.xlsm]Pivot tables!PivotTable19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t>Total votes by party</a:t>
            </a:r>
          </a:p>
        </c:rich>
      </c:tx>
      <c:layout>
        <c:manualLayout>
          <c:xMode val="edge"/>
          <c:yMode val="edge"/>
          <c:x val="0.26426973063412396"/>
          <c:y val="2.00501253132832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rgbClr val="00B050"/>
          </a:solidFill>
          <a:ln>
            <a:noFill/>
          </a:ln>
          <a:effectLst/>
        </c:spPr>
        <c:marker>
          <c:symbol val="none"/>
        </c:marker>
      </c:pivotFmt>
      <c:pivotFmt>
        <c:idx val="5"/>
        <c:spPr>
          <a:solidFill>
            <a:srgbClr val="FFFF00"/>
          </a:solidFill>
          <a:ln>
            <a:noFill/>
          </a:ln>
          <a:effectLst/>
        </c:spPr>
        <c:marker>
          <c:symbol val="none"/>
        </c:marker>
      </c:pivotFmt>
      <c:pivotFmt>
        <c:idx val="6"/>
        <c:spPr>
          <a:solidFill>
            <a:schemeClr val="accent1"/>
          </a:solidFill>
          <a:ln>
            <a:noFill/>
          </a:ln>
          <a:effectLst/>
        </c:spPr>
        <c:marker>
          <c:symbol val="none"/>
        </c:marker>
      </c:pivotFmt>
      <c:pivotFmt>
        <c:idx val="7"/>
        <c:spPr>
          <a:solidFill>
            <a:srgbClr val="00B050"/>
          </a:solidFill>
          <a:ln>
            <a:noFill/>
          </a:ln>
          <a:effectLst/>
        </c:spPr>
        <c:marker>
          <c:symbol val="none"/>
        </c:marker>
      </c:pivotFmt>
      <c:pivotFmt>
        <c:idx val="8"/>
        <c:spPr>
          <a:solidFill>
            <a:srgbClr val="FFFF00"/>
          </a:solidFill>
          <a:ln>
            <a:noFill/>
          </a:ln>
          <a:effectLst/>
        </c:spPr>
        <c:marker>
          <c:symbol val="none"/>
        </c:marker>
      </c:pivotFmt>
    </c:pivotFmts>
    <c:plotArea>
      <c:layout>
        <c:manualLayout>
          <c:layoutTarget val="inner"/>
          <c:xMode val="edge"/>
          <c:yMode val="edge"/>
          <c:x val="0.20613967060763927"/>
          <c:y val="0.16586466165413535"/>
          <c:w val="0.7737193424840022"/>
          <c:h val="0.48262980285359069"/>
        </c:manualLayout>
      </c:layout>
      <c:barChart>
        <c:barDir val="col"/>
        <c:grouping val="clustered"/>
        <c:varyColors val="0"/>
        <c:ser>
          <c:idx val="0"/>
          <c:order val="0"/>
          <c:tx>
            <c:strRef>
              <c:f>'Pivot tables'!$A$47</c:f>
              <c:strCache>
                <c:ptCount val="1"/>
                <c:pt idx="0">
                  <c:v>Sum of Votes for other Parties</c:v>
                </c:pt>
              </c:strCache>
            </c:strRef>
          </c:tx>
          <c:spPr>
            <a:solidFill>
              <a:schemeClr val="accent1"/>
            </a:solidFill>
            <a:ln>
              <a:noFill/>
            </a:ln>
            <a:effectLst/>
          </c:spPr>
          <c:invertIfNegative val="0"/>
          <c:cat>
            <c:strRef>
              <c:f>'Pivot tables'!$A$48</c:f>
              <c:strCache>
                <c:ptCount val="1"/>
                <c:pt idx="0">
                  <c:v>Total</c:v>
                </c:pt>
              </c:strCache>
            </c:strRef>
          </c:cat>
          <c:val>
            <c:numRef>
              <c:f>'Pivot tables'!$A$48</c:f>
              <c:numCache>
                <c:formatCode>General</c:formatCode>
                <c:ptCount val="1"/>
                <c:pt idx="0">
                  <c:v>167010</c:v>
                </c:pt>
              </c:numCache>
            </c:numRef>
          </c:val>
        </c:ser>
        <c:ser>
          <c:idx val="1"/>
          <c:order val="1"/>
          <c:tx>
            <c:strRef>
              <c:f>'Pivot tables'!$B$47</c:f>
              <c:strCache>
                <c:ptCount val="1"/>
                <c:pt idx="0">
                  <c:v>Sum of Votes for ZANU-PF</c:v>
                </c:pt>
              </c:strCache>
            </c:strRef>
          </c:tx>
          <c:spPr>
            <a:solidFill>
              <a:srgbClr val="00B050"/>
            </a:solidFill>
            <a:ln>
              <a:noFill/>
            </a:ln>
            <a:effectLst/>
          </c:spPr>
          <c:invertIfNegative val="0"/>
          <c:cat>
            <c:strRef>
              <c:f>'Pivot tables'!$A$48</c:f>
              <c:strCache>
                <c:ptCount val="1"/>
                <c:pt idx="0">
                  <c:v>Total</c:v>
                </c:pt>
              </c:strCache>
            </c:strRef>
          </c:cat>
          <c:val>
            <c:numRef>
              <c:f>'Pivot tables'!$B$48</c:f>
              <c:numCache>
                <c:formatCode>General</c:formatCode>
                <c:ptCount val="1"/>
                <c:pt idx="0">
                  <c:v>2456280</c:v>
                </c:pt>
              </c:numCache>
            </c:numRef>
          </c:val>
        </c:ser>
        <c:ser>
          <c:idx val="2"/>
          <c:order val="2"/>
          <c:tx>
            <c:strRef>
              <c:f>'Pivot tables'!$C$47</c:f>
              <c:strCache>
                <c:ptCount val="1"/>
                <c:pt idx="0">
                  <c:v>Sum of Votes for MDC-A</c:v>
                </c:pt>
              </c:strCache>
            </c:strRef>
          </c:tx>
          <c:spPr>
            <a:solidFill>
              <a:srgbClr val="FFFF00"/>
            </a:solidFill>
            <a:ln>
              <a:noFill/>
            </a:ln>
            <a:effectLst/>
          </c:spPr>
          <c:invertIfNegative val="0"/>
          <c:cat>
            <c:strRef>
              <c:f>'Pivot tables'!$A$48</c:f>
              <c:strCache>
                <c:ptCount val="1"/>
                <c:pt idx="0">
                  <c:v>Total</c:v>
                </c:pt>
              </c:strCache>
            </c:strRef>
          </c:cat>
          <c:val>
            <c:numRef>
              <c:f>'Pivot tables'!$C$48</c:f>
              <c:numCache>
                <c:formatCode>General</c:formatCode>
                <c:ptCount val="1"/>
                <c:pt idx="0">
                  <c:v>2151927</c:v>
                </c:pt>
              </c:numCache>
            </c:numRef>
          </c:val>
        </c:ser>
        <c:dLbls>
          <c:showLegendKey val="0"/>
          <c:showVal val="0"/>
          <c:showCatName val="0"/>
          <c:showSerName val="0"/>
          <c:showPercent val="0"/>
          <c:showBubbleSize val="0"/>
        </c:dLbls>
        <c:gapWidth val="219"/>
        <c:overlap val="-27"/>
        <c:axId val="2071059728"/>
        <c:axId val="2071070064"/>
      </c:barChart>
      <c:catAx>
        <c:axId val="2071059728"/>
        <c:scaling>
          <c:orientation val="minMax"/>
        </c:scaling>
        <c:delete val="1"/>
        <c:axPos val="b"/>
        <c:numFmt formatCode="General" sourceLinked="1"/>
        <c:majorTickMark val="none"/>
        <c:minorTickMark val="none"/>
        <c:tickLblPos val="nextTo"/>
        <c:crossAx val="2071070064"/>
        <c:crosses val="autoZero"/>
        <c:auto val="1"/>
        <c:lblAlgn val="ctr"/>
        <c:lblOffset val="100"/>
        <c:noMultiLvlLbl val="0"/>
      </c:catAx>
      <c:valAx>
        <c:axId val="207107006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Votes in Hundred Thousands</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059728"/>
        <c:crosses val="autoZero"/>
        <c:crossBetween val="between"/>
        <c:dispUnits>
          <c:builtInUnit val="hundredThousands"/>
        </c:dispUnits>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[2018 results analysis.xlsm]Pivot tables!PivotTable21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constituencies per province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c:spPr>
        <c:marker>
          <c:symbol val="none"/>
        </c:marker>
      </c:pivotFmt>
      <c:pivotFmt>
        <c:idx val="3"/>
        <c:spPr>
          <a:solidFill>
            <a:schemeClr val="tx1">
              <a:lumMod val="85000"/>
              <a:lumOff val="15000"/>
            </a:schemeClr>
          </a:solidFill>
          <a:ln>
            <a:noFill/>
          </a:ln>
          <a:effectLst/>
        </c:spPr>
        <c:marker>
          <c:symbol val="none"/>
        </c:marker>
      </c:pivotFmt>
    </c:pivotFmts>
    <c:plotArea>
      <c:layout/>
      <c:barChart>
        <c:barDir val="bar"/>
        <c:grouping val="clustered"/>
        <c:varyColors val="0"/>
        <c:ser>
          <c:idx val="0"/>
          <c:order val="0"/>
          <c:tx>
            <c:strRef>
              <c:f>'Pivot tables'!$B$53</c:f>
              <c:strCache>
                <c:ptCount val="1"/>
                <c:pt idx="0">
                  <c:v>Total</c:v>
                </c:pt>
              </c:strCache>
            </c:strRef>
          </c:tx>
          <c:spPr>
            <a:solidFill>
              <a:schemeClr val="tx1">
                <a:lumMod val="85000"/>
                <a:lumOff val="15000"/>
              </a:schemeClr>
            </a:solidFill>
            <a:ln>
              <a:noFill/>
            </a:ln>
            <a:effectLst/>
          </c:spPr>
          <c:invertIfNegative val="0"/>
          <c:cat>
            <c:strRef>
              <c:f>'Pivot tables'!$A$54:$A$64</c:f>
              <c:strCache>
                <c:ptCount val="10"/>
                <c:pt idx="0">
                  <c:v>Bulawayo</c:v>
                </c:pt>
                <c:pt idx="1">
                  <c:v>Harare</c:v>
                </c:pt>
                <c:pt idx="2">
                  <c:v>Manicaland</c:v>
                </c:pt>
                <c:pt idx="3">
                  <c:v>Mashonaland Central</c:v>
                </c:pt>
                <c:pt idx="4">
                  <c:v>Mashonaland East</c:v>
                </c:pt>
                <c:pt idx="5">
                  <c:v>Mashonaland West</c:v>
                </c:pt>
                <c:pt idx="6">
                  <c:v>Masvingo</c:v>
                </c:pt>
                <c:pt idx="7">
                  <c:v>Matebeleland North</c:v>
                </c:pt>
                <c:pt idx="8">
                  <c:v>Matebeleland South</c:v>
                </c:pt>
                <c:pt idx="9">
                  <c:v>Midlands</c:v>
                </c:pt>
              </c:strCache>
            </c:strRef>
          </c:cat>
          <c:val>
            <c:numRef>
              <c:f>'Pivot tables'!$B$54:$B$64</c:f>
              <c:numCache>
                <c:formatCode>General</c:formatCode>
                <c:ptCount val="10"/>
                <c:pt idx="0">
                  <c:v>12</c:v>
                </c:pt>
                <c:pt idx="1">
                  <c:v>29</c:v>
                </c:pt>
                <c:pt idx="2">
                  <c:v>26</c:v>
                </c:pt>
                <c:pt idx="3">
                  <c:v>18</c:v>
                </c:pt>
                <c:pt idx="4">
                  <c:v>23</c:v>
                </c:pt>
                <c:pt idx="5">
                  <c:v>22</c:v>
                </c:pt>
                <c:pt idx="6">
                  <c:v>26</c:v>
                </c:pt>
                <c:pt idx="7">
                  <c:v>13</c:v>
                </c:pt>
                <c:pt idx="8">
                  <c:v>13</c:v>
                </c:pt>
                <c:pt idx="9">
                  <c:v>28</c:v>
                </c:pt>
              </c:numCache>
            </c:numRef>
          </c:val>
        </c:ser>
        <c:dLbls>
          <c:showLegendKey val="0"/>
          <c:showVal val="0"/>
          <c:showCatName val="0"/>
          <c:showSerName val="0"/>
          <c:showPercent val="0"/>
          <c:showBubbleSize val="0"/>
        </c:dLbls>
        <c:gapWidth val="112"/>
        <c:axId val="2071055920"/>
        <c:axId val="2071063536"/>
      </c:barChart>
      <c:catAx>
        <c:axId val="20710559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Province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063536"/>
        <c:crosses val="autoZero"/>
        <c:auto val="1"/>
        <c:lblAlgn val="ctr"/>
        <c:lblOffset val="100"/>
        <c:noMultiLvlLbl val="0"/>
      </c:catAx>
      <c:valAx>
        <c:axId val="20710635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constituencies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055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Dashboard!B1"/><Relationship Id="rId4" Type="http://schemas.openxmlformats.org/officeDocument/2006/relationships/hyperlink" Target="#Data!D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chart" Target="../charts/chart4.xml"/><Relationship Id="rId2" Type="http://schemas.microsoft.com/office/2007/relationships/hdphoto" Target="../media/hdphoto2.wdp"/><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hyperlink" Target="#Home!A1"/><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10948</xdr:colOff>
      <xdr:row>0</xdr:row>
      <xdr:rowOff>0</xdr:rowOff>
    </xdr:from>
    <xdr:to>
      <xdr:col>1</xdr:col>
      <xdr:colOff>796487</xdr:colOff>
      <xdr:row>8</xdr:row>
      <xdr:rowOff>98534</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48" y="0"/>
          <a:ext cx="2143125" cy="1587500"/>
        </a:xfrm>
        <a:prstGeom prst="rect">
          <a:avLst/>
        </a:prstGeom>
      </xdr:spPr>
    </xdr:pic>
    <xdr:clientData/>
  </xdr:twoCellAnchor>
  <xdr:twoCellAnchor>
    <xdr:from>
      <xdr:col>1</xdr:col>
      <xdr:colOff>580260</xdr:colOff>
      <xdr:row>1</xdr:row>
      <xdr:rowOff>87585</xdr:rowOff>
    </xdr:from>
    <xdr:to>
      <xdr:col>7</xdr:col>
      <xdr:colOff>1510863</xdr:colOff>
      <xdr:row>6</xdr:row>
      <xdr:rowOff>142327</xdr:rowOff>
    </xdr:to>
    <xdr:sp macro="" textlink="">
      <xdr:nvSpPr>
        <xdr:cNvPr id="5" name="Rectangle 4"/>
        <xdr:cNvSpPr/>
      </xdr:nvSpPr>
      <xdr:spPr>
        <a:xfrm>
          <a:off x="1937846" y="273706"/>
          <a:ext cx="9853448" cy="98534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chemeClr val="tx1"/>
              </a:solidFill>
              <a:latin typeface="+mj-lt"/>
            </a:rPr>
            <a:t>2018 Zimbabwe</a:t>
          </a:r>
          <a:r>
            <a:rPr lang="en-US" sz="3200" b="1" baseline="0">
              <a:solidFill>
                <a:schemeClr val="tx1"/>
              </a:solidFill>
              <a:latin typeface="+mj-lt"/>
            </a:rPr>
            <a:t>  Presidental Election Results Analysis</a:t>
          </a:r>
          <a:endParaRPr lang="en-US" sz="3200" b="1">
            <a:solidFill>
              <a:schemeClr val="tx1"/>
            </a:solidFill>
            <a:latin typeface="+mj-lt"/>
          </a:endParaRPr>
        </a:p>
      </xdr:txBody>
    </xdr:sp>
    <xdr:clientData/>
  </xdr:twoCellAnchor>
  <xdr:twoCellAnchor editAs="oneCell">
    <xdr:from>
      <xdr:col>1</xdr:col>
      <xdr:colOff>394138</xdr:colOff>
      <xdr:row>6</xdr:row>
      <xdr:rowOff>109482</xdr:rowOff>
    </xdr:from>
    <xdr:to>
      <xdr:col>4</xdr:col>
      <xdr:colOff>482063</xdr:colOff>
      <xdr:row>31</xdr:row>
      <xdr:rowOff>139190</xdr:rowOff>
    </xdr:to>
    <xdr:pic>
      <xdr:nvPicPr>
        <xdr:cNvPr id="11" name="Picture 10"/>
        <xdr:cNvPicPr>
          <a:picLocks noChangeAspect="1"/>
        </xdr:cNvPicPr>
      </xdr:nvPicPr>
      <xdr:blipFill>
        <a:blip xmlns:r="http://schemas.openxmlformats.org/officeDocument/2006/relationships" r:embed="rId2">
          <a:grayscl/>
          <a:extLst>
            <a:ext uri="{BEBA8EAE-BF5A-486C-A8C5-ECC9F3942E4B}">
              <a14:imgProps xmlns:a14="http://schemas.microsoft.com/office/drawing/2010/main">
                <a14:imgLayer r:embed="rId3">
                  <a14:imgEffect>
                    <a14:backgroundRemoval t="10000" b="90000" l="10000" r="90000">
                      <a14:foregroundMark x1="15800" y1="35000" x2="27500" y2="37315"/>
                      <a14:foregroundMark x1="27500" y1="37315" x2="30800" y2="35926"/>
                      <a14:foregroundMark x1="31000" y1="35926" x2="35300" y2="31296"/>
                      <a14:foregroundMark x1="35500" y1="31759" x2="38300" y2="26667"/>
                      <a14:foregroundMark x1="38500" y1="27130" x2="41000" y2="26389"/>
                      <a14:foregroundMark x1="41000" y1="26204" x2="46500" y2="23889"/>
                      <a14:foregroundMark x1="46800" y1="23889" x2="47000" y2="18981"/>
                      <a14:foregroundMark x1="47000" y1="18981" x2="53300" y2="16019"/>
                      <a14:foregroundMark x1="53300" y1="16481" x2="62000" y2="16204"/>
                      <a14:foregroundMark x1="62000" y1="16204" x2="61800" y2="19444"/>
                      <a14:foregroundMark x1="61800" y1="19722" x2="66800" y2="19444"/>
                      <a14:foregroundMark x1="67000" y1="19444" x2="70500" y2="19722"/>
                      <a14:foregroundMark x1="70500" y1="19722" x2="71500" y2="20833"/>
                      <a14:foregroundMark x1="71800" y1="20833" x2="75000" y2="21574"/>
                      <a14:foregroundMark x1="75000" y1="22037" x2="75800" y2="23148"/>
                      <a14:foregroundMark x1="75800" y1="23148" x2="79100" y2="23148"/>
                      <a14:foregroundMark x1="79100" y1="23148" x2="81800" y2="24537"/>
                      <a14:foregroundMark x1="82300" y1="24537" x2="82800" y2="25463"/>
                      <a14:foregroundMark x1="82800" y1="25463" x2="85600" y2="25463"/>
                      <a14:foregroundMark x1="85600" y1="25463" x2="83600" y2="27778"/>
                      <a14:foregroundMark x1="83600" y1="27778" x2="85600" y2="31019"/>
                      <a14:foregroundMark x1="85600" y1="31019" x2="84600" y2="32685"/>
                      <a14:foregroundMark x1="84600" y1="32685" x2="85800" y2="33796"/>
                      <a14:foregroundMark x1="85800" y1="34537" x2="85100" y2="38704"/>
                      <a14:foregroundMark x1="85100" y1="38704" x2="86100" y2="40741"/>
                      <a14:foregroundMark x1="86100" y1="40278" x2="85600" y2="41019"/>
                      <a14:foregroundMark x1="85600" y1="42407" x2="84300" y2="41481"/>
                      <a14:foregroundMark x1="85300" y1="42407" x2="84300" y2="43796"/>
                      <a14:foregroundMark x1="84300" y1="43796" x2="82600" y2="46111"/>
                      <a14:foregroundMark x1="82600" y1="45648" x2="84800" y2="46759"/>
                      <a14:foregroundMark x1="84300" y1="46759" x2="84100" y2="51204"/>
                      <a14:foregroundMark x1="84100" y1="51204" x2="86100" y2="53241"/>
                      <a14:foregroundMark x1="85800" y1="53704" x2="84600" y2="57407"/>
                      <a14:foregroundMark x1="84600" y1="57870" x2="79800" y2="65556"/>
                      <a14:foregroundMark x1="80100" y1="65556" x2="81300" y2="66204"/>
                      <a14:foregroundMark x1="80300" y1="67870" x2="69500" y2="77593"/>
                      <a14:foregroundMark x1="69500" y1="77593" x2="64500" y2="75741"/>
                      <a14:foregroundMark x1="64500" y1="75741" x2="59500" y2="76667"/>
                      <a14:foregroundMark x1="59500" y1="76944" x2="54500" y2="73704"/>
                      <a14:foregroundMark x1="55000" y1="74352" x2="51300" y2="74815"/>
                      <a14:foregroundMark x1="51300" y1="74815" x2="48300" y2="72315"/>
                      <a14:foregroundMark x1="48300" y1="72315" x2="48800" y2="71111"/>
                      <a14:foregroundMark x1="48800" y1="71111" x2="39000" y2="68796"/>
                      <a14:foregroundMark x1="39000" y1="68796" x2="36000" y2="63889"/>
                      <a14:foregroundMark x1="36000" y1="63889" x2="36000" y2="63889"/>
                      <a14:foregroundMark x1="36000" y1="63426" x2="36300" y2="59722"/>
                      <a14:foregroundMark x1="36300" y1="59722" x2="32300" y2="59259"/>
                      <a14:foregroundMark x1="32300" y1="59074" x2="32300" y2="56019"/>
                      <a14:foregroundMark x1="32300" y1="56296" x2="22500" y2="50926"/>
                      <a14:foregroundMark x1="22500" y1="50926" x2="14000" y2="34722"/>
                    </a14:backgroundRemoval>
                  </a14:imgEffect>
                  <a14:imgEffect>
                    <a14:artisticMarker/>
                  </a14:imgEffect>
                  <a14:imgEffect>
                    <a14:sharpenSoften amount="25000"/>
                  </a14:imgEffect>
                  <a14:imgEffect>
                    <a14:colorTemperature colorTemp="11200"/>
                  </a14:imgEffect>
                  <a14:imgEffect>
                    <a14:saturation sat="33000"/>
                  </a14:imgEffect>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1751724" y="1226206"/>
          <a:ext cx="4335856" cy="4682725"/>
        </a:xfrm>
        <a:prstGeom prst="rect">
          <a:avLst/>
        </a:prstGeom>
        <a:solidFill>
          <a:schemeClr val="bg2"/>
        </a:solidFill>
      </xdr:spPr>
    </xdr:pic>
    <xdr:clientData/>
  </xdr:twoCellAnchor>
  <xdr:twoCellAnchor>
    <xdr:from>
      <xdr:col>5</xdr:col>
      <xdr:colOff>333923</xdr:colOff>
      <xdr:row>13</xdr:row>
      <xdr:rowOff>120431</xdr:rowOff>
    </xdr:from>
    <xdr:to>
      <xdr:col>6</xdr:col>
      <xdr:colOff>695216</xdr:colOff>
      <xdr:row>16</xdr:row>
      <xdr:rowOff>54741</xdr:rowOff>
    </xdr:to>
    <xdr:sp macro="" textlink="">
      <xdr:nvSpPr>
        <xdr:cNvPr id="12" name="Rounded Rectangle 11">
          <a:hlinkClick xmlns:r="http://schemas.openxmlformats.org/officeDocument/2006/relationships" r:id="rId4"/>
        </xdr:cNvPr>
        <xdr:cNvSpPr/>
      </xdr:nvSpPr>
      <xdr:spPr>
        <a:xfrm>
          <a:off x="8096251" y="2540000"/>
          <a:ext cx="1565603" cy="492672"/>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Data</a:t>
          </a:r>
        </a:p>
      </xdr:txBody>
    </xdr:sp>
    <xdr:clientData/>
  </xdr:twoCellAnchor>
  <xdr:twoCellAnchor>
    <xdr:from>
      <xdr:col>5</xdr:col>
      <xdr:colOff>333923</xdr:colOff>
      <xdr:row>19</xdr:row>
      <xdr:rowOff>164223</xdr:rowOff>
    </xdr:from>
    <xdr:to>
      <xdr:col>6</xdr:col>
      <xdr:colOff>695216</xdr:colOff>
      <xdr:row>22</xdr:row>
      <xdr:rowOff>98534</xdr:rowOff>
    </xdr:to>
    <xdr:sp macro="" textlink="">
      <xdr:nvSpPr>
        <xdr:cNvPr id="13" name="Rounded Rectangle 12">
          <a:hlinkClick xmlns:r="http://schemas.openxmlformats.org/officeDocument/2006/relationships" r:id="rId5"/>
        </xdr:cNvPr>
        <xdr:cNvSpPr/>
      </xdr:nvSpPr>
      <xdr:spPr>
        <a:xfrm>
          <a:off x="8096251" y="3700516"/>
          <a:ext cx="1565603" cy="492673"/>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Dashboard</a:t>
          </a:r>
        </a:p>
      </xdr:txBody>
    </xdr:sp>
    <xdr:clientData/>
  </xdr:twoCellAnchor>
  <xdr:twoCellAnchor>
    <xdr:from>
      <xdr:col>5</xdr:col>
      <xdr:colOff>437931</xdr:colOff>
      <xdr:row>13</xdr:row>
      <xdr:rowOff>120431</xdr:rowOff>
    </xdr:from>
    <xdr:to>
      <xdr:col>6</xdr:col>
      <xdr:colOff>667845</xdr:colOff>
      <xdr:row>16</xdr:row>
      <xdr:rowOff>21897</xdr:rowOff>
    </xdr:to>
    <xdr:sp macro="" textlink="">
      <xdr:nvSpPr>
        <xdr:cNvPr id="15" name="Rounded Rectangle 14"/>
        <xdr:cNvSpPr/>
      </xdr:nvSpPr>
      <xdr:spPr>
        <a:xfrm>
          <a:off x="8200259" y="2540000"/>
          <a:ext cx="1434224" cy="45982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459827</xdr:colOff>
      <xdr:row>19</xdr:row>
      <xdr:rowOff>175173</xdr:rowOff>
    </xdr:from>
    <xdr:to>
      <xdr:col>6</xdr:col>
      <xdr:colOff>678793</xdr:colOff>
      <xdr:row>22</xdr:row>
      <xdr:rowOff>54742</xdr:rowOff>
    </xdr:to>
    <xdr:sp macro="" textlink="">
      <xdr:nvSpPr>
        <xdr:cNvPr id="16" name="Rounded Rectangle 15"/>
        <xdr:cNvSpPr/>
      </xdr:nvSpPr>
      <xdr:spPr>
        <a:xfrm>
          <a:off x="8222155" y="3711466"/>
          <a:ext cx="1423276" cy="43793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0</xdr:row>
      <xdr:rowOff>0</xdr:rowOff>
    </xdr:from>
    <xdr:to>
      <xdr:col>10</xdr:col>
      <xdr:colOff>0</xdr:colOff>
      <xdr:row>1</xdr:row>
      <xdr:rowOff>9525</xdr:rowOff>
    </xdr:to>
    <xdr:sp macro="" textlink="">
      <xdr:nvSpPr>
        <xdr:cNvPr id="6" name="Rounded Rectangle 5">
          <a:hlinkClick xmlns:r="http://schemas.openxmlformats.org/officeDocument/2006/relationships" r:id="rId1"/>
        </xdr:cNvPr>
        <xdr:cNvSpPr/>
      </xdr:nvSpPr>
      <xdr:spPr>
        <a:xfrm>
          <a:off x="7305675" y="0"/>
          <a:ext cx="1219200" cy="24765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Home</a:t>
          </a:r>
        </a:p>
      </xdr:txBody>
    </xdr:sp>
    <xdr:clientData/>
  </xdr:twoCellAnchor>
  <xdr:twoCellAnchor>
    <xdr:from>
      <xdr:col>8</xdr:col>
      <xdr:colOff>120431</xdr:colOff>
      <xdr:row>0</xdr:row>
      <xdr:rowOff>0</xdr:rowOff>
    </xdr:from>
    <xdr:to>
      <xdr:col>9</xdr:col>
      <xdr:colOff>1061983</xdr:colOff>
      <xdr:row>1</xdr:row>
      <xdr:rowOff>0</xdr:rowOff>
    </xdr:to>
    <xdr:sp macro="" textlink="">
      <xdr:nvSpPr>
        <xdr:cNvPr id="8" name="Rounded Rectangle 7"/>
        <xdr:cNvSpPr/>
      </xdr:nvSpPr>
      <xdr:spPr>
        <a:xfrm>
          <a:off x="12229224" y="0"/>
          <a:ext cx="1850259" cy="24086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2</xdr:col>
      <xdr:colOff>190500</xdr:colOff>
      <xdr:row>7</xdr:row>
      <xdr:rowOff>22522</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11161" b="79911" l="7556" r="89778">
                      <a14:foregroundMark x1="18667" y1="28125" x2="82667" y2="29018"/>
                      <a14:foregroundMark x1="18222" y1="71429" x2="81333" y2="71429"/>
                      <a14:foregroundMark x1="16000" y1="27232" x2="14667" y2="71429"/>
                      <a14:foregroundMark x1="84000" y1="30357" x2="84000" y2="30357"/>
                      <a14:foregroundMark x1="79556" y1="29464" x2="78222" y2="70982"/>
                    </a14:backgroundRemoval>
                  </a14:imgEffect>
                  <a14:imgEffect>
                    <a14:artisticGlowDiffused/>
                  </a14:imgEffect>
                </a14:imgLayer>
              </a14:imgProps>
            </a:ext>
            <a:ext uri="{28A0092B-C50C-407E-A947-70E740481C1C}">
              <a14:useLocalDpi xmlns:a14="http://schemas.microsoft.com/office/drawing/2010/main" val="0"/>
            </a:ext>
          </a:extLst>
        </a:blip>
        <a:stretch>
          <a:fillRect/>
        </a:stretch>
      </xdr:blipFill>
      <xdr:spPr>
        <a:xfrm>
          <a:off x="47625" y="0"/>
          <a:ext cx="1362075" cy="1356022"/>
        </a:xfrm>
        <a:prstGeom prst="rect">
          <a:avLst/>
        </a:prstGeom>
        <a:noFill/>
      </xdr:spPr>
    </xdr:pic>
    <xdr:clientData/>
  </xdr:twoCellAnchor>
  <xdr:twoCellAnchor>
    <xdr:from>
      <xdr:col>2</xdr:col>
      <xdr:colOff>76200</xdr:colOff>
      <xdr:row>1</xdr:row>
      <xdr:rowOff>180975</xdr:rowOff>
    </xdr:from>
    <xdr:to>
      <xdr:col>4</xdr:col>
      <xdr:colOff>257176</xdr:colOff>
      <xdr:row>5</xdr:row>
      <xdr:rowOff>19050</xdr:rowOff>
    </xdr:to>
    <xdr:sp macro="" textlink="">
      <xdr:nvSpPr>
        <xdr:cNvPr id="4" name="Rectangle 3"/>
        <xdr:cNvSpPr/>
      </xdr:nvSpPr>
      <xdr:spPr>
        <a:xfrm>
          <a:off x="1295400" y="371475"/>
          <a:ext cx="1400176" cy="6000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Total</a:t>
          </a:r>
          <a:r>
            <a:rPr lang="en-US" sz="1100" baseline="0">
              <a:solidFill>
                <a:schemeClr val="tx1"/>
              </a:solidFill>
            </a:rPr>
            <a:t> votes cast</a:t>
          </a:r>
        </a:p>
        <a:p>
          <a:pPr algn="ctr"/>
          <a:r>
            <a:rPr lang="en-US" sz="2000" baseline="0">
              <a:solidFill>
                <a:schemeClr val="tx1"/>
              </a:solidFill>
            </a:rPr>
            <a:t>4.85M</a:t>
          </a:r>
          <a:endParaRPr lang="en-US" sz="2000">
            <a:solidFill>
              <a:schemeClr val="tx1"/>
            </a:solidFill>
          </a:endParaRPr>
        </a:p>
      </xdr:txBody>
    </xdr:sp>
    <xdr:clientData/>
  </xdr:twoCellAnchor>
  <xdr:twoCellAnchor>
    <xdr:from>
      <xdr:col>5</xdr:col>
      <xdr:colOff>4763</xdr:colOff>
      <xdr:row>2</xdr:row>
      <xdr:rowOff>0</xdr:rowOff>
    </xdr:from>
    <xdr:to>
      <xdr:col>7</xdr:col>
      <xdr:colOff>166688</xdr:colOff>
      <xdr:row>5</xdr:row>
      <xdr:rowOff>28575</xdr:rowOff>
    </xdr:to>
    <xdr:sp macro="" textlink="">
      <xdr:nvSpPr>
        <xdr:cNvPr id="9" name="Rectangle 8"/>
        <xdr:cNvSpPr/>
      </xdr:nvSpPr>
      <xdr:spPr>
        <a:xfrm>
          <a:off x="3052763" y="381000"/>
          <a:ext cx="1381125" cy="6000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aseline="0">
              <a:solidFill>
                <a:schemeClr val="tx1"/>
              </a:solidFill>
            </a:rPr>
            <a:t>Votes for ZANU-PF</a:t>
          </a:r>
        </a:p>
        <a:p>
          <a:pPr algn="ctr"/>
          <a:r>
            <a:rPr lang="en-US" sz="2000" baseline="0">
              <a:solidFill>
                <a:schemeClr val="tx1"/>
              </a:solidFill>
            </a:rPr>
            <a:t>2.46M</a:t>
          </a:r>
          <a:endParaRPr lang="en-US" sz="2000">
            <a:solidFill>
              <a:schemeClr val="tx1"/>
            </a:solidFill>
          </a:endParaRPr>
        </a:p>
      </xdr:txBody>
    </xdr:sp>
    <xdr:clientData/>
  </xdr:twoCellAnchor>
  <xdr:twoCellAnchor>
    <xdr:from>
      <xdr:col>7</xdr:col>
      <xdr:colOff>523875</xdr:colOff>
      <xdr:row>1</xdr:row>
      <xdr:rowOff>180975</xdr:rowOff>
    </xdr:from>
    <xdr:to>
      <xdr:col>10</xdr:col>
      <xdr:colOff>152400</xdr:colOff>
      <xdr:row>5</xdr:row>
      <xdr:rowOff>19050</xdr:rowOff>
    </xdr:to>
    <xdr:sp macro="" textlink="">
      <xdr:nvSpPr>
        <xdr:cNvPr id="11" name="Rectangle 10"/>
        <xdr:cNvSpPr/>
      </xdr:nvSpPr>
      <xdr:spPr>
        <a:xfrm>
          <a:off x="4791075" y="371475"/>
          <a:ext cx="1457325" cy="6000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aseline="0">
              <a:solidFill>
                <a:schemeClr val="tx1"/>
              </a:solidFill>
            </a:rPr>
            <a:t>Votes for MDC-A</a:t>
          </a:r>
        </a:p>
        <a:p>
          <a:pPr algn="ctr"/>
          <a:r>
            <a:rPr lang="en-US" sz="2000" baseline="0">
              <a:solidFill>
                <a:schemeClr val="tx1"/>
              </a:solidFill>
            </a:rPr>
            <a:t>2.15M</a:t>
          </a:r>
          <a:endParaRPr lang="en-US" sz="2000">
            <a:solidFill>
              <a:schemeClr val="tx1"/>
            </a:solidFill>
          </a:endParaRPr>
        </a:p>
      </xdr:txBody>
    </xdr:sp>
    <xdr:clientData/>
  </xdr:twoCellAnchor>
  <xdr:twoCellAnchor>
    <xdr:from>
      <xdr:col>10</xdr:col>
      <xdr:colOff>509588</xdr:colOff>
      <xdr:row>1</xdr:row>
      <xdr:rowOff>171450</xdr:rowOff>
    </xdr:from>
    <xdr:to>
      <xdr:col>13</xdr:col>
      <xdr:colOff>280988</xdr:colOff>
      <xdr:row>5</xdr:row>
      <xdr:rowOff>9525</xdr:rowOff>
    </xdr:to>
    <xdr:sp macro="" textlink="">
      <xdr:nvSpPr>
        <xdr:cNvPr id="15" name="Rectangle 14"/>
        <xdr:cNvSpPr/>
      </xdr:nvSpPr>
      <xdr:spPr>
        <a:xfrm>
          <a:off x="6605588" y="361950"/>
          <a:ext cx="1600200" cy="6000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aseline="0">
              <a:solidFill>
                <a:schemeClr val="tx1"/>
              </a:solidFill>
            </a:rPr>
            <a:t>Votes for other parties</a:t>
          </a:r>
        </a:p>
        <a:p>
          <a:pPr algn="ctr"/>
          <a:r>
            <a:rPr lang="en-US" sz="2000" baseline="0">
              <a:solidFill>
                <a:schemeClr val="tx1"/>
              </a:solidFill>
            </a:rPr>
            <a:t>0.17M</a:t>
          </a:r>
          <a:endParaRPr lang="en-US" sz="2000">
            <a:solidFill>
              <a:schemeClr val="tx1"/>
            </a:solidFill>
          </a:endParaRPr>
        </a:p>
      </xdr:txBody>
    </xdr:sp>
    <xdr:clientData/>
  </xdr:twoCellAnchor>
  <xdr:twoCellAnchor>
    <xdr:from>
      <xdr:col>2</xdr:col>
      <xdr:colOff>76200</xdr:colOff>
      <xdr:row>5</xdr:row>
      <xdr:rowOff>123826</xdr:rowOff>
    </xdr:from>
    <xdr:to>
      <xdr:col>10</xdr:col>
      <xdr:colOff>495300</xdr:colOff>
      <xdr:row>19</xdr:row>
      <xdr:rowOff>85726</xdr:rowOff>
    </xdr:to>
    <xdr:sp macro="" textlink="">
      <xdr:nvSpPr>
        <xdr:cNvPr id="19" name="Rectangle 18"/>
        <xdr:cNvSpPr/>
      </xdr:nvSpPr>
      <xdr:spPr>
        <a:xfrm>
          <a:off x="1295400" y="1076326"/>
          <a:ext cx="5295900" cy="26289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a:solidFill>
              <a:schemeClr val="bg1">
                <a:lumMod val="95000"/>
              </a:schemeClr>
            </a:solidFill>
          </a:endParaRPr>
        </a:p>
      </xdr:txBody>
    </xdr:sp>
    <xdr:clientData/>
  </xdr:twoCellAnchor>
  <xdr:twoCellAnchor>
    <xdr:from>
      <xdr:col>2</xdr:col>
      <xdr:colOff>76199</xdr:colOff>
      <xdr:row>5</xdr:row>
      <xdr:rowOff>38100</xdr:rowOff>
    </xdr:from>
    <xdr:to>
      <xdr:col>10</xdr:col>
      <xdr:colOff>542923</xdr:colOff>
      <xdr:row>19</xdr:row>
      <xdr:rowOff>76200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28576</xdr:colOff>
      <xdr:row>1</xdr:row>
      <xdr:rowOff>180975</xdr:rowOff>
    </xdr:from>
    <xdr:to>
      <xdr:col>16</xdr:col>
      <xdr:colOff>142876</xdr:colOff>
      <xdr:row>5</xdr:row>
      <xdr:rowOff>19050</xdr:rowOff>
    </xdr:to>
    <xdr:sp macro="" textlink="">
      <xdr:nvSpPr>
        <xdr:cNvPr id="26" name="Rectangle 25"/>
        <xdr:cNvSpPr/>
      </xdr:nvSpPr>
      <xdr:spPr>
        <a:xfrm>
          <a:off x="8562976" y="371475"/>
          <a:ext cx="1333500" cy="6000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aseline="0">
              <a:solidFill>
                <a:schemeClr val="tx1"/>
              </a:solidFill>
            </a:rPr>
            <a:t>Spoilt Votes</a:t>
          </a:r>
        </a:p>
        <a:p>
          <a:pPr algn="ctr"/>
          <a:r>
            <a:rPr lang="en-US" sz="2000" baseline="0">
              <a:solidFill>
                <a:schemeClr val="tx1"/>
              </a:solidFill>
            </a:rPr>
            <a:t>0.07M</a:t>
          </a:r>
          <a:endParaRPr lang="en-US" sz="2000">
            <a:solidFill>
              <a:schemeClr val="tx1"/>
            </a:solidFill>
          </a:endParaRPr>
        </a:p>
      </xdr:txBody>
    </xdr:sp>
    <xdr:clientData/>
  </xdr:twoCellAnchor>
  <xdr:twoCellAnchor>
    <xdr:from>
      <xdr:col>11</xdr:col>
      <xdr:colOff>19050</xdr:colOff>
      <xdr:row>5</xdr:row>
      <xdr:rowOff>123825</xdr:rowOff>
    </xdr:from>
    <xdr:to>
      <xdr:col>16</xdr:col>
      <xdr:colOff>142875</xdr:colOff>
      <xdr:row>19</xdr:row>
      <xdr:rowOff>76200</xdr:rowOff>
    </xdr:to>
    <xdr:sp macro="" textlink="">
      <xdr:nvSpPr>
        <xdr:cNvPr id="27" name="Rectangle 26"/>
        <xdr:cNvSpPr/>
      </xdr:nvSpPr>
      <xdr:spPr>
        <a:xfrm>
          <a:off x="6724650" y="1076325"/>
          <a:ext cx="3171825" cy="26193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76200</xdr:colOff>
      <xdr:row>20</xdr:row>
      <xdr:rowOff>0</xdr:rowOff>
    </xdr:from>
    <xdr:to>
      <xdr:col>9</xdr:col>
      <xdr:colOff>523876</xdr:colOff>
      <xdr:row>32</xdr:row>
      <xdr:rowOff>28575</xdr:rowOff>
    </xdr:to>
    <xdr:sp macro="" textlink="">
      <xdr:nvSpPr>
        <xdr:cNvPr id="28" name="Rectangle 27"/>
        <xdr:cNvSpPr/>
      </xdr:nvSpPr>
      <xdr:spPr>
        <a:xfrm>
          <a:off x="1295400" y="3810000"/>
          <a:ext cx="4714876" cy="23145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85725</xdr:colOff>
      <xdr:row>20</xdr:row>
      <xdr:rowOff>0</xdr:rowOff>
    </xdr:from>
    <xdr:to>
      <xdr:col>16</xdr:col>
      <xdr:colOff>142876</xdr:colOff>
      <xdr:row>32</xdr:row>
      <xdr:rowOff>9525</xdr:rowOff>
    </xdr:to>
    <xdr:sp macro="" textlink="">
      <xdr:nvSpPr>
        <xdr:cNvPr id="30" name="Rectangle 29"/>
        <xdr:cNvSpPr/>
      </xdr:nvSpPr>
      <xdr:spPr>
        <a:xfrm>
          <a:off x="6181725" y="3810000"/>
          <a:ext cx="3714751" cy="22955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104775</xdr:colOff>
      <xdr:row>20</xdr:row>
      <xdr:rowOff>9524</xdr:rowOff>
    </xdr:from>
    <xdr:to>
      <xdr:col>9</xdr:col>
      <xdr:colOff>409575</xdr:colOff>
      <xdr:row>31</xdr:row>
      <xdr:rowOff>190499</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142876</xdr:colOff>
      <xdr:row>0</xdr:row>
      <xdr:rowOff>28575</xdr:rowOff>
    </xdr:from>
    <xdr:to>
      <xdr:col>16</xdr:col>
      <xdr:colOff>142876</xdr:colOff>
      <xdr:row>1</xdr:row>
      <xdr:rowOff>95250</xdr:rowOff>
    </xdr:to>
    <xdr:sp macro="" textlink="">
      <xdr:nvSpPr>
        <xdr:cNvPr id="34" name="Rounded Rectangle 33">
          <a:hlinkClick xmlns:r="http://schemas.openxmlformats.org/officeDocument/2006/relationships" r:id="rId5"/>
        </xdr:cNvPr>
        <xdr:cNvSpPr/>
      </xdr:nvSpPr>
      <xdr:spPr>
        <a:xfrm>
          <a:off x="8677276" y="28575"/>
          <a:ext cx="1219200" cy="257175"/>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Home</a:t>
          </a:r>
        </a:p>
      </xdr:txBody>
    </xdr:sp>
    <xdr:clientData/>
  </xdr:twoCellAnchor>
  <xdr:twoCellAnchor>
    <xdr:from>
      <xdr:col>11</xdr:col>
      <xdr:colOff>180975</xdr:colOff>
      <xdr:row>0</xdr:row>
      <xdr:rowOff>28575</xdr:rowOff>
    </xdr:from>
    <xdr:to>
      <xdr:col>13</xdr:col>
      <xdr:colOff>180975</xdr:colOff>
      <xdr:row>1</xdr:row>
      <xdr:rowOff>95250</xdr:rowOff>
    </xdr:to>
    <xdr:sp macro="[0]!Macro2" textlink="">
      <xdr:nvSpPr>
        <xdr:cNvPr id="35" name="Rounded Rectangle 34"/>
        <xdr:cNvSpPr/>
      </xdr:nvSpPr>
      <xdr:spPr>
        <a:xfrm>
          <a:off x="6886575" y="28575"/>
          <a:ext cx="1219200" cy="257175"/>
        </a:xfrm>
        <a:prstGeom prst="roundRect">
          <a:avLst/>
        </a:prstGeom>
        <a:solidFill>
          <a:schemeClr val="tx1">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Refresh</a:t>
          </a:r>
        </a:p>
      </xdr:txBody>
    </xdr:sp>
    <xdr:clientData/>
  </xdr:twoCellAnchor>
  <xdr:twoCellAnchor>
    <xdr:from>
      <xdr:col>16</xdr:col>
      <xdr:colOff>95250</xdr:colOff>
      <xdr:row>0</xdr:row>
      <xdr:rowOff>76200</xdr:rowOff>
    </xdr:from>
    <xdr:to>
      <xdr:col>18</xdr:col>
      <xdr:colOff>19050</xdr:colOff>
      <xdr:row>1</xdr:row>
      <xdr:rowOff>85725</xdr:rowOff>
    </xdr:to>
    <xdr:sp macro="" textlink="">
      <xdr:nvSpPr>
        <xdr:cNvPr id="36" name="Rounded Rectangle 35"/>
        <xdr:cNvSpPr/>
      </xdr:nvSpPr>
      <xdr:spPr>
        <a:xfrm>
          <a:off x="9848850" y="76200"/>
          <a:ext cx="1143000" cy="20002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38101</xdr:colOff>
      <xdr:row>5</xdr:row>
      <xdr:rowOff>123825</xdr:rowOff>
    </xdr:from>
    <xdr:to>
      <xdr:col>16</xdr:col>
      <xdr:colOff>142876</xdr:colOff>
      <xdr:row>18</xdr:row>
      <xdr:rowOff>180975</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19050</xdr:colOff>
      <xdr:row>5</xdr:row>
      <xdr:rowOff>133350</xdr:rowOff>
    </xdr:from>
    <xdr:to>
      <xdr:col>1</xdr:col>
      <xdr:colOff>504825</xdr:colOff>
      <xdr:row>12</xdr:row>
      <xdr:rowOff>38100</xdr:rowOff>
    </xdr:to>
    <mc:AlternateContent xmlns:mc="http://schemas.openxmlformats.org/markup-compatibility/2006" xmlns:a14="http://schemas.microsoft.com/office/drawing/2010/main">
      <mc:Choice Requires="a14">
        <xdr:graphicFrame macro="">
          <xdr:nvGraphicFramePr>
            <xdr:cNvPr id="39" name="Settlement"/>
            <xdr:cNvGraphicFramePr/>
          </xdr:nvGraphicFramePr>
          <xdr:xfrm>
            <a:off x="0" y="0"/>
            <a:ext cx="0" cy="0"/>
          </xdr:xfrm>
          <a:graphic>
            <a:graphicData uri="http://schemas.microsoft.com/office/drawing/2010/slicer">
              <sle:slicer xmlns:sle="http://schemas.microsoft.com/office/drawing/2010/slicer" name="Settlement"/>
            </a:graphicData>
          </a:graphic>
        </xdr:graphicFrame>
      </mc:Choice>
      <mc:Fallback xmlns="">
        <xdr:sp macro="" textlink="">
          <xdr:nvSpPr>
            <xdr:cNvPr id="0" name=""/>
            <xdr:cNvSpPr>
              <a:spLocks noTextEdit="1"/>
            </xdr:cNvSpPr>
          </xdr:nvSpPr>
          <xdr:spPr>
            <a:xfrm>
              <a:off x="19050" y="1074774"/>
              <a:ext cx="1094932" cy="1222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200025</xdr:colOff>
      <xdr:row>0</xdr:row>
      <xdr:rowOff>85725</xdr:rowOff>
    </xdr:from>
    <xdr:to>
      <xdr:col>16</xdr:col>
      <xdr:colOff>123825</xdr:colOff>
      <xdr:row>1</xdr:row>
      <xdr:rowOff>85725</xdr:rowOff>
    </xdr:to>
    <xdr:sp macro="" textlink="">
      <xdr:nvSpPr>
        <xdr:cNvPr id="41" name="Rounded Rectangle 40"/>
        <xdr:cNvSpPr/>
      </xdr:nvSpPr>
      <xdr:spPr>
        <a:xfrm>
          <a:off x="8734425" y="85725"/>
          <a:ext cx="1143000" cy="1905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76201</xdr:colOff>
      <xdr:row>19</xdr:row>
      <xdr:rowOff>152401</xdr:rowOff>
    </xdr:from>
    <xdr:to>
      <xdr:col>16</xdr:col>
      <xdr:colOff>228601</xdr:colOff>
      <xdr:row>32</xdr:row>
      <xdr:rowOff>114301</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2018%20results%20analysis.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s blu" refreshedDate="44767.764377430554" createdVersion="5" refreshedVersion="5" minRefreshableVersion="3" recordCount="210">
  <cacheSource type="worksheet">
    <worksheetSource ref="A3:J213" sheet="Data" r:id="rId2"/>
  </cacheSource>
  <cacheFields count="10">
    <cacheField name="Province" numFmtId="0">
      <sharedItems count="10">
        <s v="Bulawayo"/>
        <s v="Harare"/>
        <s v="Manicaland"/>
        <s v="Mashonaland Central"/>
        <s v="Mashonaland East"/>
        <s v="Mashonaland West"/>
        <s v="Masvingo"/>
        <s v="Matebeleland North"/>
        <s v="Matebeleland South"/>
        <s v="Midlands"/>
      </sharedItems>
    </cacheField>
    <cacheField name="Constituency" numFmtId="0">
      <sharedItems/>
    </cacheField>
    <cacheField name="Settlement" numFmtId="0">
      <sharedItems count="3">
        <s v="Urban"/>
        <s v="Rural"/>
        <s v="Rural-Urban"/>
      </sharedItems>
    </cacheField>
    <cacheField name="Number of polling stations" numFmtId="0">
      <sharedItems containsSemiMixedTypes="0" containsString="0" containsNumber="1" containsInteger="1" minValue="22" maxValue="125"/>
    </cacheField>
    <cacheField name="Number of wards in constituency" numFmtId="0">
      <sharedItems containsSemiMixedTypes="0" containsString="0" containsNumber="1" containsInteger="1" minValue="1" maxValue="27"/>
    </cacheField>
    <cacheField name="Votes for MDC-A" numFmtId="0">
      <sharedItems containsSemiMixedTypes="0" containsString="0" containsNumber="1" containsInteger="1" minValue="1280" maxValue="40097"/>
    </cacheField>
    <cacheField name="Votes for ZANU-PF" numFmtId="0">
      <sharedItems containsSemiMixedTypes="0" containsString="0" containsNumber="1" containsInteger="1" minValue="2993" maxValue="33841"/>
    </cacheField>
    <cacheField name="Votes for other Parties" numFmtId="0">
      <sharedItems containsSemiMixedTypes="0" containsString="0" containsNumber="1" containsInteger="1" minValue="196" maxValue="4421"/>
    </cacheField>
    <cacheField name="Spoilt votes" numFmtId="0">
      <sharedItems containsSemiMixedTypes="0" containsString="0" containsNumber="1" containsInteger="1" minValue="89" maxValue="1032"/>
    </cacheField>
    <cacheField name="Total votes cast" numFmtId="0">
      <sharedItems containsSemiMixedTypes="0" containsString="0" containsNumber="1" containsInteger="1" minValue="12029" maxValue="6460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10">
  <r>
    <x v="0"/>
    <s v="Byo Central"/>
    <x v="0"/>
    <n v="51"/>
    <n v="3"/>
    <n v="13071"/>
    <n v="5514"/>
    <n v="933"/>
    <n v="152"/>
    <n v="19670"/>
  </r>
  <r>
    <x v="0"/>
    <s v="Byo East"/>
    <x v="0"/>
    <n v="35"/>
    <n v="2"/>
    <n v="12334"/>
    <n v="5209"/>
    <n v="782"/>
    <n v="151"/>
    <n v="18476"/>
  </r>
  <r>
    <x v="0"/>
    <s v="Byo South"/>
    <x v="0"/>
    <n v="27"/>
    <n v="2"/>
    <n v="9853"/>
    <n v="3939"/>
    <n v="646"/>
    <n v="112"/>
    <n v="14550"/>
  </r>
  <r>
    <x v="0"/>
    <s v="Emakandeni-Entumbane"/>
    <x v="0"/>
    <n v="31"/>
    <n v="2"/>
    <n v="10837"/>
    <n v="3907"/>
    <n v="685"/>
    <n v="152"/>
    <n v="15581"/>
  </r>
  <r>
    <x v="0"/>
    <s v="Lobengula"/>
    <x v="0"/>
    <n v="27"/>
    <n v="2"/>
    <n v="9814"/>
    <n v="4373"/>
    <n v="775"/>
    <n v="133"/>
    <n v="15095"/>
  </r>
  <r>
    <x v="0"/>
    <s v="Luveve"/>
    <x v="0"/>
    <n v="57"/>
    <n v="3"/>
    <n v="18971"/>
    <n v="7511"/>
    <n v="1683"/>
    <n v="251"/>
    <n v="28416"/>
  </r>
  <r>
    <x v="0"/>
    <s v="Magwegwe"/>
    <x v="0"/>
    <n v="22"/>
    <n v="2"/>
    <n v="8127"/>
    <n v="3328"/>
    <n v="738"/>
    <n v="113"/>
    <n v="12306"/>
  </r>
  <r>
    <x v="0"/>
    <s v="Makokoba"/>
    <x v="0"/>
    <n v="29"/>
    <n v="2"/>
    <n v="10342"/>
    <n v="4164"/>
    <n v="824"/>
    <n v="117"/>
    <n v="15447"/>
  </r>
  <r>
    <x v="0"/>
    <s v="Nketa"/>
    <x v="0"/>
    <n v="43"/>
    <n v="3"/>
    <n v="15562"/>
    <n v="7141"/>
    <n v="1017"/>
    <n v="203"/>
    <n v="23923"/>
  </r>
  <r>
    <x v="0"/>
    <s v="Nkulumane"/>
    <x v="0"/>
    <n v="35"/>
    <n v="3"/>
    <n v="12212"/>
    <n v="5099"/>
    <n v="1038"/>
    <n v="125"/>
    <n v="18474"/>
  </r>
  <r>
    <x v="0"/>
    <s v="Pelandaba-Mpopoma"/>
    <x v="0"/>
    <n v="27"/>
    <n v="2"/>
    <n v="9504"/>
    <n v="4232"/>
    <n v="767"/>
    <n v="144"/>
    <n v="14647"/>
  </r>
  <r>
    <x v="0"/>
    <s v="Pumula"/>
    <x v="0"/>
    <n v="43"/>
    <n v="3"/>
    <n v="13480"/>
    <n v="5751"/>
    <n v="1302"/>
    <n v="188"/>
    <n v="20721"/>
  </r>
  <r>
    <x v="1"/>
    <s v="Chitungwiza North"/>
    <x v="0"/>
    <n v="36"/>
    <n v="4"/>
    <n v="16246"/>
    <n v="6461"/>
    <n v="322"/>
    <n v="120"/>
    <n v="23149"/>
  </r>
  <r>
    <x v="1"/>
    <s v="Chitungwiza South"/>
    <x v="0"/>
    <n v="47"/>
    <n v="4"/>
    <n v="20127"/>
    <n v="8366"/>
    <n v="467"/>
    <n v="214"/>
    <n v="29174"/>
  </r>
  <r>
    <x v="1"/>
    <s v="St Mary's"/>
    <x v="0"/>
    <n v="39"/>
    <n v="6"/>
    <n v="17917"/>
    <n v="6978"/>
    <n v="460"/>
    <n v="162"/>
    <n v="25517"/>
  </r>
  <r>
    <x v="1"/>
    <s v="Zengeza East"/>
    <x v="0"/>
    <n v="39"/>
    <n v="5"/>
    <n v="15092"/>
    <n v="6432"/>
    <n v="353"/>
    <n v="147"/>
    <n v="22024"/>
  </r>
  <r>
    <x v="1"/>
    <s v="Zengeza West"/>
    <x v="0"/>
    <n v="39"/>
    <n v="6"/>
    <n v="16614"/>
    <n v="5980"/>
    <n v="311"/>
    <n v="163"/>
    <n v="23068"/>
  </r>
  <r>
    <x v="1"/>
    <s v="Budiriro"/>
    <x v="0"/>
    <n v="59"/>
    <n v="2"/>
    <n v="33718"/>
    <n v="8859"/>
    <n v="529"/>
    <n v="329"/>
    <n v="43435"/>
  </r>
  <r>
    <x v="1"/>
    <s v="Dzivarasekwa"/>
    <x v="0"/>
    <n v="44"/>
    <n v="2"/>
    <n v="19783"/>
    <n v="7517"/>
    <n v="490"/>
    <n v="242"/>
    <n v="28032"/>
  </r>
  <r>
    <x v="1"/>
    <s v="Epworth"/>
    <x v="0"/>
    <n v="84"/>
    <n v="7"/>
    <n v="37989"/>
    <n v="18222"/>
    <n v="1329"/>
    <n v="732"/>
    <n v="58272"/>
  </r>
  <r>
    <x v="1"/>
    <s v="Glen Norah"/>
    <x v="0"/>
    <n v="34"/>
    <n v="2"/>
    <n v="16514"/>
    <n v="4031"/>
    <n v="248"/>
    <n v="149"/>
    <n v="20942"/>
  </r>
  <r>
    <x v="1"/>
    <s v="Glen View South"/>
    <x v="0"/>
    <n v="27"/>
    <n v="2"/>
    <n v="13664"/>
    <n v="3608"/>
    <n v="278"/>
    <n v="108"/>
    <n v="17658"/>
  </r>
  <r>
    <x v="1"/>
    <s v="Glen View North"/>
    <x v="0"/>
    <n v="24"/>
    <n v="1"/>
    <n v="12462"/>
    <n v="2993"/>
    <n v="229"/>
    <n v="90"/>
    <n v="15774"/>
  </r>
  <r>
    <x v="1"/>
    <s v="Harare Central"/>
    <x v="0"/>
    <n v="33"/>
    <n v="2"/>
    <n v="13216"/>
    <n v="6058"/>
    <n v="329"/>
    <n v="97"/>
    <n v="19700"/>
  </r>
  <r>
    <x v="1"/>
    <s v="Harare East"/>
    <x v="0"/>
    <n v="49"/>
    <n v="3"/>
    <n v="22786"/>
    <n v="9146"/>
    <n v="625"/>
    <n v="263"/>
    <n v="32820"/>
  </r>
  <r>
    <x v="1"/>
    <s v="Harare North"/>
    <x v="0"/>
    <n v="43"/>
    <n v="2"/>
    <n v="21214"/>
    <n v="8938"/>
    <n v="621"/>
    <n v="306"/>
    <n v="31079"/>
  </r>
  <r>
    <x v="1"/>
    <s v="Harare South"/>
    <x v="0"/>
    <n v="88"/>
    <n v="1"/>
    <n v="40097"/>
    <n v="22747"/>
    <n v="1134"/>
    <n v="629"/>
    <n v="64607"/>
  </r>
  <r>
    <x v="1"/>
    <s v="Harare West"/>
    <x v="0"/>
    <n v="45"/>
    <n v="2"/>
    <n v="23328"/>
    <n v="7726"/>
    <n v="515"/>
    <n v="170"/>
    <n v="31739"/>
  </r>
  <r>
    <x v="1"/>
    <s v="Hatfield"/>
    <x v="0"/>
    <n v="44"/>
    <n v="2"/>
    <n v="23026"/>
    <n v="7296"/>
    <n v="399"/>
    <n v="152"/>
    <n v="30873"/>
  </r>
  <r>
    <x v="1"/>
    <s v="Highfield East"/>
    <x v="0"/>
    <n v="41"/>
    <n v="2"/>
    <n v="16374"/>
    <n v="4106"/>
    <n v="296"/>
    <n v="118"/>
    <n v="20894"/>
  </r>
  <r>
    <x v="1"/>
    <s v="Highfield West"/>
    <x v="0"/>
    <n v="24"/>
    <n v="2"/>
    <n v="12770"/>
    <n v="3576"/>
    <n v="209"/>
    <n v="92"/>
    <n v="16647"/>
  </r>
  <r>
    <x v="1"/>
    <s v="Kambuzuma"/>
    <x v="0"/>
    <n v="29"/>
    <n v="2"/>
    <n v="13443"/>
    <n v="4557"/>
    <n v="291"/>
    <n v="123"/>
    <n v="18414"/>
  </r>
  <r>
    <x v="1"/>
    <s v="Kuwadzana"/>
    <x v="0"/>
    <n v="41"/>
    <n v="3"/>
    <n v="24399"/>
    <n v="7479"/>
    <n v="439"/>
    <n v="214"/>
    <n v="32531"/>
  </r>
  <r>
    <x v="1"/>
    <s v="Kuwadzana East"/>
    <x v="0"/>
    <n v="29"/>
    <n v="1"/>
    <n v="16773"/>
    <n v="4109"/>
    <n v="293"/>
    <n v="116"/>
    <n v="21291"/>
  </r>
  <r>
    <x v="1"/>
    <s v="Mabvuku-Tafara"/>
    <x v="0"/>
    <n v="40"/>
    <n v="3"/>
    <n v="18936"/>
    <n v="5886"/>
    <n v="363"/>
    <n v="198"/>
    <n v="25383"/>
  </r>
  <r>
    <x v="1"/>
    <s v="Mbare"/>
    <x v="0"/>
    <n v="37"/>
    <n v="2"/>
    <n v="13455"/>
    <n v="10005"/>
    <n v="394"/>
    <n v="263"/>
    <n v="24117"/>
  </r>
  <r>
    <x v="1"/>
    <s v="Mt Pleasant"/>
    <x v="0"/>
    <n v="35"/>
    <n v="2"/>
    <n v="12989"/>
    <n v="6494"/>
    <n v="408"/>
    <n v="174"/>
    <n v="20065"/>
  </r>
  <r>
    <x v="1"/>
    <s v="Mufakose"/>
    <x v="0"/>
    <n v="26"/>
    <n v="2"/>
    <n v="12105"/>
    <n v="3279"/>
    <n v="243"/>
    <n v="124"/>
    <n v="15751"/>
  </r>
  <r>
    <x v="1"/>
    <s v="Southerton"/>
    <x v="0"/>
    <n v="26"/>
    <n v="2"/>
    <n v="11179"/>
    <n v="3568"/>
    <n v="209"/>
    <n v="89"/>
    <n v="15045"/>
  </r>
  <r>
    <x v="1"/>
    <s v="Sunningdale"/>
    <x v="0"/>
    <n v="26"/>
    <n v="2"/>
    <n v="12213"/>
    <n v="3827"/>
    <n v="200"/>
    <n v="104"/>
    <n v="16344"/>
  </r>
  <r>
    <x v="1"/>
    <s v="Warren Park"/>
    <x v="0"/>
    <n v="44"/>
    <n v="2"/>
    <n v="20466"/>
    <n v="6475"/>
    <n v="385"/>
    <n v="128"/>
    <n v="27454"/>
  </r>
  <r>
    <x v="2"/>
    <s v="Buhera Central*"/>
    <x v="1"/>
    <n v="60"/>
    <n v="9"/>
    <n v="8288"/>
    <n v="13015"/>
    <n v="1174"/>
    <n v="629"/>
    <n v="23106"/>
  </r>
  <r>
    <x v="2"/>
    <s v="Buhera North"/>
    <x v="1"/>
    <n v="48"/>
    <n v="8"/>
    <n v="6361"/>
    <n v="10379"/>
    <n v="488"/>
    <n v="197"/>
    <n v="17425"/>
  </r>
  <r>
    <x v="2"/>
    <s v="Buhera South"/>
    <x v="1"/>
    <n v="53"/>
    <n v="8"/>
    <n v="10228"/>
    <n v="12415"/>
    <n v="903"/>
    <n v="389"/>
    <n v="23935"/>
  </r>
  <r>
    <x v="2"/>
    <s v="Buhera West"/>
    <x v="1"/>
    <n v="49"/>
    <n v="8"/>
    <n v="10740"/>
    <n v="10476"/>
    <n v="782"/>
    <n v="300"/>
    <n v="22298"/>
  </r>
  <r>
    <x v="2"/>
    <s v="Chimanimani West*"/>
    <x v="1"/>
    <n v="54"/>
    <n v="11"/>
    <n v="9260"/>
    <n v="10621"/>
    <n v="579"/>
    <n v="209"/>
    <n v="20669"/>
  </r>
  <r>
    <x v="2"/>
    <s v="Chimanimani East*"/>
    <x v="1"/>
    <n v="73"/>
    <n v="12"/>
    <n v="8025"/>
    <n v="16155"/>
    <n v="935"/>
    <n v="427"/>
    <n v="25542"/>
  </r>
  <r>
    <x v="2"/>
    <s v="Chipinge Central"/>
    <x v="2"/>
    <n v="52"/>
    <n v="14"/>
    <n v="9806"/>
    <n v="14814"/>
    <n v="642"/>
    <n v="399"/>
    <n v="25661"/>
  </r>
  <r>
    <x v="2"/>
    <s v="Chipinge East *"/>
    <x v="1"/>
    <n v="44"/>
    <n v="7"/>
    <n v="8367"/>
    <n v="8542"/>
    <n v="1238"/>
    <n v="491"/>
    <n v="18638"/>
  </r>
  <r>
    <x v="2"/>
    <s v="Chipinge South"/>
    <x v="1"/>
    <n v="40"/>
    <n v="6"/>
    <n v="9446"/>
    <n v="10187"/>
    <n v="1311"/>
    <n v="537"/>
    <n v="21481"/>
  </r>
  <r>
    <x v="2"/>
    <s v="Chipinge West"/>
    <x v="1"/>
    <n v="42"/>
    <n v="6"/>
    <n v="8663"/>
    <n v="6692"/>
    <n v="648"/>
    <n v="289"/>
    <n v="16292"/>
  </r>
  <r>
    <x v="2"/>
    <s v="Musikavanhu"/>
    <x v="1"/>
    <n v="34"/>
    <n v="5"/>
    <n v="8544"/>
    <n v="6121"/>
    <n v="1051"/>
    <n v="523"/>
    <n v="16239"/>
  </r>
  <r>
    <x v="2"/>
    <s v="Headlands*"/>
    <x v="1"/>
    <n v="56"/>
    <n v="8"/>
    <n v="8502"/>
    <n v="14284"/>
    <n v="790"/>
    <n v="325"/>
    <n v="23901"/>
  </r>
  <r>
    <x v="2"/>
    <s v="Makoni Central"/>
    <x v="2"/>
    <n v="59"/>
    <n v="16"/>
    <n v="13455"/>
    <n v="8307"/>
    <n v="540"/>
    <n v="274"/>
    <n v="22576"/>
  </r>
  <r>
    <x v="2"/>
    <s v="Makoni North"/>
    <x v="1"/>
    <n v="50"/>
    <n v="8"/>
    <n v="6216"/>
    <n v="11705"/>
    <n v="717"/>
    <n v="287"/>
    <n v="18925"/>
  </r>
  <r>
    <x v="2"/>
    <s v="Makoni South"/>
    <x v="1"/>
    <n v="53"/>
    <n v="10"/>
    <n v="10043"/>
    <n v="10711"/>
    <n v="796"/>
    <n v="307"/>
    <n v="21857"/>
  </r>
  <r>
    <x v="2"/>
    <s v="Makoni West"/>
    <x v="1"/>
    <n v="37"/>
    <n v="6"/>
    <n v="7548"/>
    <n v="7321"/>
    <n v="628"/>
    <n v="218"/>
    <n v="15715"/>
  </r>
  <r>
    <x v="2"/>
    <s v="Dangamvura/Chikanga"/>
    <x v="0"/>
    <n v="85"/>
    <n v="10"/>
    <n v="37370"/>
    <n v="11750"/>
    <n v="637"/>
    <n v="320"/>
    <n v="50077"/>
  </r>
  <r>
    <x v="2"/>
    <s v="Mutare Central"/>
    <x v="0"/>
    <n v="35"/>
    <n v="6"/>
    <n v="13988"/>
    <n v="4370"/>
    <n v="269"/>
    <n v="230"/>
    <n v="18857"/>
  </r>
  <r>
    <x v="2"/>
    <s v="Mutare North"/>
    <x v="1"/>
    <n v="70"/>
    <n v="12"/>
    <n v="12014"/>
    <n v="18999"/>
    <n v="1329"/>
    <n v="538"/>
    <n v="32880"/>
  </r>
  <r>
    <x v="2"/>
    <s v="Mutare South"/>
    <x v="1"/>
    <n v="71"/>
    <n v="13"/>
    <n v="13304"/>
    <n v="14571"/>
    <n v="1227"/>
    <n v="552"/>
    <n v="29654"/>
  </r>
  <r>
    <x v="2"/>
    <s v="Mutare West"/>
    <x v="1"/>
    <n v="57"/>
    <n v="11"/>
    <n v="10082"/>
    <n v="17319"/>
    <n v="1426"/>
    <n v="574"/>
    <n v="29401"/>
  </r>
  <r>
    <x v="2"/>
    <s v="Mutasa Central"/>
    <x v="1"/>
    <n v="66"/>
    <n v="12"/>
    <n v="13736"/>
    <n v="8499"/>
    <n v="735"/>
    <n v="275"/>
    <n v="23245"/>
  </r>
  <r>
    <x v="2"/>
    <s v="Mutasa North"/>
    <x v="1"/>
    <n v="57"/>
    <n v="13"/>
    <n v="12921"/>
    <n v="11541"/>
    <n v="974"/>
    <n v="469"/>
    <n v="25905"/>
  </r>
  <r>
    <x v="2"/>
    <s v="Mutasa South"/>
    <x v="2"/>
    <n v="57"/>
    <n v="9"/>
    <n v="17615"/>
    <n v="10257"/>
    <n v="472"/>
    <n v="296"/>
    <n v="28640"/>
  </r>
  <r>
    <x v="2"/>
    <s v="Nyanga North"/>
    <x v="1"/>
    <n v="65"/>
    <n v="13"/>
    <n v="9028"/>
    <n v="13589"/>
    <n v="899"/>
    <n v="444"/>
    <n v="23960"/>
  </r>
  <r>
    <x v="2"/>
    <s v="Nyanga South"/>
    <x v="1"/>
    <n v="70"/>
    <n v="18"/>
    <n v="12879"/>
    <n v="10298"/>
    <n v="857"/>
    <n v="740"/>
    <n v="24774"/>
  </r>
  <r>
    <x v="3"/>
    <s v="Bindura North"/>
    <x v="2"/>
    <n v="81"/>
    <n v="20"/>
    <n v="14824"/>
    <n v="28051"/>
    <n v="624"/>
    <n v="360"/>
    <n v="43859"/>
  </r>
  <r>
    <x v="3"/>
    <s v="Bindura South"/>
    <x v="1"/>
    <n v="56"/>
    <n v="13"/>
    <n v="10926"/>
    <n v="18511"/>
    <n v="794"/>
    <n v="349"/>
    <n v="30580"/>
  </r>
  <r>
    <x v="3"/>
    <s v="Guruve North "/>
    <x v="1"/>
    <n v="48"/>
    <n v="14"/>
    <n v="4238"/>
    <n v="23419"/>
    <n v="706"/>
    <n v="507"/>
    <n v="28870"/>
  </r>
  <r>
    <x v="3"/>
    <s v="Guruve South"/>
    <x v="1"/>
    <n v="61"/>
    <n v="12"/>
    <n v="4049"/>
    <n v="22358"/>
    <n v="683"/>
    <n v="357"/>
    <n v="27447"/>
  </r>
  <r>
    <x v="3"/>
    <s v="Mazowe Central"/>
    <x v="1"/>
    <n v="34"/>
    <n v="8"/>
    <n v="7085"/>
    <n v="11620"/>
    <n v="682"/>
    <n v="346"/>
    <n v="19733"/>
  </r>
  <r>
    <x v="3"/>
    <s v="Mazowe North"/>
    <x v="1"/>
    <n v="41"/>
    <n v="8"/>
    <n v="4360"/>
    <n v="17016"/>
    <n v="555"/>
    <n v="327"/>
    <n v="22258"/>
  </r>
  <r>
    <x v="3"/>
    <s v="Mazowe South"/>
    <x v="1"/>
    <n v="57"/>
    <n v="9"/>
    <n v="10451"/>
    <n v="17115"/>
    <n v="681"/>
    <n v="477"/>
    <n v="28724"/>
  </r>
  <r>
    <x v="3"/>
    <s v="Mazowe West"/>
    <x v="1"/>
    <n v="53"/>
    <n v="10"/>
    <n v="3713"/>
    <n v="18386"/>
    <n v="354"/>
    <n v="310"/>
    <n v="22763"/>
  </r>
  <r>
    <x v="3"/>
    <s v="Mbire"/>
    <x v="1"/>
    <n v="50"/>
    <n v="15"/>
    <n v="5998"/>
    <n v="18029"/>
    <n v="940"/>
    <n v="607"/>
    <n v="25574"/>
  </r>
  <r>
    <x v="3"/>
    <s v="Mt Darwin East"/>
    <x v="1"/>
    <n v="49"/>
    <n v="11"/>
    <n v="2864"/>
    <n v="20966"/>
    <n v="924"/>
    <n v="323"/>
    <n v="25077"/>
  </r>
  <r>
    <x v="3"/>
    <s v="Mt Darwin North"/>
    <x v="1"/>
    <n v="41"/>
    <n v="10"/>
    <n v="2383"/>
    <n v="16625"/>
    <n v="836"/>
    <n v="374"/>
    <n v="20218"/>
  </r>
  <r>
    <x v="3"/>
    <s v="Mt Darwin South"/>
    <x v="1"/>
    <n v="43"/>
    <n v="12"/>
    <n v="4579"/>
    <n v="20307"/>
    <n v="649"/>
    <n v="283"/>
    <n v="25818"/>
  </r>
  <r>
    <x v="3"/>
    <s v="Mt Darwin West"/>
    <x v="1"/>
    <n v="52"/>
    <n v="11"/>
    <n v="3505"/>
    <n v="20350"/>
    <n v="1608"/>
    <n v="320"/>
    <n v="25783"/>
  </r>
  <r>
    <x v="3"/>
    <s v="Muzarabani North"/>
    <x v="1"/>
    <n v="45"/>
    <n v="12"/>
    <n v="1786"/>
    <n v="16616"/>
    <n v="221"/>
    <n v="194"/>
    <n v="18817"/>
  </r>
  <r>
    <x v="3"/>
    <s v="Muzarabani South"/>
    <x v="1"/>
    <n v="56"/>
    <n v="17"/>
    <n v="2169"/>
    <n v="23115"/>
    <n v="291"/>
    <n v="283"/>
    <n v="25858"/>
  </r>
  <r>
    <x v="3"/>
    <s v="Rushinga"/>
    <x v="1"/>
    <n v="81"/>
    <n v="21"/>
    <n v="4152"/>
    <n v="21933"/>
    <n v="515"/>
    <n v="262"/>
    <n v="26862"/>
  </r>
  <r>
    <x v="3"/>
    <s v="Shamva North"/>
    <x v="1"/>
    <n v="46"/>
    <n v="14"/>
    <n v="4503"/>
    <n v="18843"/>
    <n v="652"/>
    <n v="241"/>
    <n v="24239"/>
  </r>
  <r>
    <x v="3"/>
    <s v="Shamva South"/>
    <x v="1"/>
    <n v="57"/>
    <n v="15"/>
    <n v="4478"/>
    <n v="26316"/>
    <n v="386"/>
    <n v="499"/>
    <n v="31679"/>
  </r>
  <r>
    <x v="4"/>
    <s v="Chikomba Central"/>
    <x v="1"/>
    <n v="40"/>
    <n v="10"/>
    <n v="5865"/>
    <n v="7314"/>
    <n v="671"/>
    <n v="180"/>
    <n v="14030"/>
  </r>
  <r>
    <x v="4"/>
    <s v="Chikomba East"/>
    <x v="1"/>
    <n v="31"/>
    <n v="7"/>
    <n v="4545"/>
    <n v="6761"/>
    <n v="720"/>
    <n v="199"/>
    <n v="12225"/>
  </r>
  <r>
    <x v="4"/>
    <s v="Chikomba West"/>
    <x v="1"/>
    <n v="70"/>
    <n v="19"/>
    <n v="8428"/>
    <n v="16026"/>
    <n v="602"/>
    <n v="231"/>
    <n v="25287"/>
  </r>
  <r>
    <x v="4"/>
    <s v="Goromonzi North"/>
    <x v="1"/>
    <n v="52"/>
    <n v="8"/>
    <n v="11064"/>
    <n v="12583"/>
    <n v="665"/>
    <n v="304"/>
    <n v="24616"/>
  </r>
  <r>
    <x v="4"/>
    <s v="Goromonzi South"/>
    <x v="2"/>
    <n v="125"/>
    <n v="17"/>
    <n v="39689"/>
    <n v="21593"/>
    <n v="931"/>
    <n v="676"/>
    <n v="62889"/>
  </r>
  <r>
    <x v="4"/>
    <s v="Goromonzi West"/>
    <x v="1"/>
    <n v="66"/>
    <n v="8"/>
    <n v="19178"/>
    <n v="12991"/>
    <n v="784"/>
    <n v="482"/>
    <n v="33435"/>
  </r>
  <r>
    <x v="4"/>
    <s v="MarambaPfungwe"/>
    <x v="1"/>
    <n v="51"/>
    <n v="9"/>
    <n v="1280"/>
    <n v="23966"/>
    <n v="210"/>
    <n v="182"/>
    <n v="25638"/>
  </r>
  <r>
    <x v="4"/>
    <s v="Uzumba"/>
    <x v="1"/>
    <n v="49"/>
    <n v="8"/>
    <n v="2257"/>
    <n v="20740"/>
    <n v="324"/>
    <n v="402"/>
    <n v="23723"/>
  </r>
  <r>
    <x v="4"/>
    <s v="Marondera East"/>
    <x v="1"/>
    <n v="67"/>
    <n v="11"/>
    <n v="5679"/>
    <n v="17057"/>
    <n v="443"/>
    <n v="362"/>
    <n v="23541"/>
  </r>
  <r>
    <x v="4"/>
    <s v="Marondera Central"/>
    <x v="0"/>
    <n v="40"/>
    <n v="12"/>
    <n v="16772"/>
    <n v="7473"/>
    <n v="303"/>
    <n v="124"/>
    <n v="24672"/>
  </r>
  <r>
    <x v="4"/>
    <s v="Marondera West"/>
    <x v="1"/>
    <n v="39"/>
    <n v="10"/>
    <n v="7034"/>
    <n v="7016"/>
    <n v="651"/>
    <n v="231"/>
    <n v="14932"/>
  </r>
  <r>
    <x v="4"/>
    <s v="Mudzi North"/>
    <x v="1"/>
    <n v="48"/>
    <n v="7"/>
    <n v="3848"/>
    <n v="16376"/>
    <n v="522"/>
    <n v="323"/>
    <n v="21069"/>
  </r>
  <r>
    <x v="4"/>
    <s v="Mudzi South"/>
    <x v="1"/>
    <n v="41"/>
    <n v="6"/>
    <n v="1854"/>
    <n v="17728"/>
    <n v="307"/>
    <n v="416"/>
    <n v="20305"/>
  </r>
  <r>
    <x v="4"/>
    <s v="Mudzi West"/>
    <x v="1"/>
    <n v="33"/>
    <n v="5"/>
    <n v="1400"/>
    <n v="13846"/>
    <n v="196"/>
    <n v="191"/>
    <n v="15633"/>
  </r>
  <r>
    <x v="4"/>
    <s v="Murewa North"/>
    <x v="1"/>
    <n v="56"/>
    <n v="12"/>
    <n v="7401"/>
    <n v="14339"/>
    <n v="621"/>
    <n v="246"/>
    <n v="22607"/>
  </r>
  <r>
    <x v="4"/>
    <s v="Murewa South"/>
    <x v="1"/>
    <n v="49"/>
    <n v="9"/>
    <n v="4824"/>
    <n v="18325"/>
    <n v="461"/>
    <n v="229"/>
    <n v="23839"/>
  </r>
  <r>
    <x v="4"/>
    <s v="Murewa West"/>
    <x v="1"/>
    <n v="53"/>
    <n v="9"/>
    <n v="8263"/>
    <n v="13185"/>
    <n v="817"/>
    <n v="349"/>
    <n v="22614"/>
  </r>
  <r>
    <x v="4"/>
    <s v="Mutoko East"/>
    <x v="1"/>
    <n v="40"/>
    <n v="8"/>
    <n v="2818"/>
    <n v="14161"/>
    <n v="284"/>
    <n v="221"/>
    <n v="17484"/>
  </r>
  <r>
    <x v="4"/>
    <s v="Mutoko North"/>
    <x v="1"/>
    <n v="54"/>
    <n v="11"/>
    <n v="3778"/>
    <n v="16285"/>
    <n v="290"/>
    <n v="246"/>
    <n v="20599"/>
  </r>
  <r>
    <x v="4"/>
    <s v="Mutoko South"/>
    <x v="1"/>
    <n v="63"/>
    <n v="10"/>
    <n v="5088"/>
    <n v="19969"/>
    <n v="274"/>
    <n v="320"/>
    <n v="25651"/>
  </r>
  <r>
    <x v="4"/>
    <s v="Seke"/>
    <x v="1"/>
    <n v="94"/>
    <n v="14"/>
    <n v="20322"/>
    <n v="16047"/>
    <n v="1002"/>
    <n v="379"/>
    <n v="37750"/>
  </r>
  <r>
    <x v="4"/>
    <s v="Wedza North"/>
    <x v="1"/>
    <n v="43"/>
    <n v="9"/>
    <n v="3992"/>
    <n v="12997"/>
    <n v="436"/>
    <n v="237"/>
    <n v="17662"/>
  </r>
  <r>
    <x v="4"/>
    <s v="Wedza South"/>
    <x v="1"/>
    <n v="36"/>
    <n v="8"/>
    <n v="3642"/>
    <n v="7839"/>
    <n v="366"/>
    <n v="204"/>
    <n v="12051"/>
  </r>
  <r>
    <x v="5"/>
    <s v="Chegutu East"/>
    <x v="1"/>
    <n v="78"/>
    <n v="14"/>
    <n v="7268"/>
    <n v="16068"/>
    <n v="820"/>
    <n v="357"/>
    <n v="24513"/>
  </r>
  <r>
    <x v="5"/>
    <s v="Chegutu West"/>
    <x v="2"/>
    <n v="57"/>
    <n v="15"/>
    <n v="14019"/>
    <n v="10574"/>
    <n v="495"/>
    <n v="298"/>
    <n v="25386"/>
  </r>
  <r>
    <x v="5"/>
    <s v="Mhondoro Mubaira"/>
    <x v="1"/>
    <n v="57"/>
    <n v="9"/>
    <n v="9465"/>
    <n v="8794"/>
    <n v="940"/>
    <n v="291"/>
    <n v="19490"/>
  </r>
  <r>
    <x v="5"/>
    <s v="Norton"/>
    <x v="2"/>
    <n v="70"/>
    <n v="16"/>
    <n v="20194"/>
    <n v="9436"/>
    <n v="532"/>
    <n v="199"/>
    <n v="30361"/>
  </r>
  <r>
    <x v="5"/>
    <s v="Hurungwe Central"/>
    <x v="2"/>
    <n v="78"/>
    <n v="15"/>
    <n v="10119"/>
    <n v="15257"/>
    <n v="642"/>
    <n v="354"/>
    <n v="26372"/>
  </r>
  <r>
    <x v="5"/>
    <s v="Hurungwe East"/>
    <x v="1"/>
    <n v="64"/>
    <n v="7"/>
    <n v="5090"/>
    <n v="21313"/>
    <n v="867"/>
    <n v="420"/>
    <n v="27690"/>
  </r>
  <r>
    <x v="5"/>
    <s v="Hurungwe North"/>
    <x v="1"/>
    <n v="44"/>
    <n v="4"/>
    <n v="6233"/>
    <n v="12505"/>
    <n v="878"/>
    <n v="457"/>
    <n v="20073"/>
  </r>
  <r>
    <x v="5"/>
    <s v="Hurungwe West"/>
    <x v="1"/>
    <n v="43"/>
    <n v="6"/>
    <n v="8330"/>
    <n v="10266"/>
    <n v="1176"/>
    <n v="527"/>
    <n v="20299"/>
  </r>
  <r>
    <x v="5"/>
    <s v="Magunje"/>
    <x v="1"/>
    <n v="40"/>
    <n v="4"/>
    <n v="9010"/>
    <n v="8514"/>
    <n v="1004"/>
    <n v="444"/>
    <n v="18972"/>
  </r>
  <r>
    <x v="5"/>
    <s v="Kariba"/>
    <x v="2"/>
    <n v="81"/>
    <n v="21"/>
    <n v="14555"/>
    <n v="11631"/>
    <n v="959"/>
    <n v="594"/>
    <n v="27739"/>
  </r>
  <r>
    <x v="5"/>
    <s v="Chinhoyi"/>
    <x v="0"/>
    <n v="60"/>
    <n v="15"/>
    <n v="19740"/>
    <n v="9088"/>
    <n v="555"/>
    <n v="279"/>
    <n v="29662"/>
  </r>
  <r>
    <x v="5"/>
    <s v="Makonde"/>
    <x v="1"/>
    <n v="65"/>
    <n v="10"/>
    <n v="4808"/>
    <n v="18868"/>
    <n v="1064"/>
    <n v="538"/>
    <n v="25278"/>
  </r>
  <r>
    <x v="5"/>
    <s v="Mhangura"/>
    <x v="1"/>
    <n v="70"/>
    <n v="9"/>
    <n v="4463"/>
    <n v="24924"/>
    <n v="662"/>
    <n v="446"/>
    <n v="30495"/>
  </r>
  <r>
    <x v="5"/>
    <s v="Chikari"/>
    <x v="1"/>
    <n v="70"/>
    <n v="6"/>
    <n v="4947"/>
    <n v="25315"/>
    <n v="748"/>
    <n v="527"/>
    <n v="31537"/>
  </r>
  <r>
    <x v="5"/>
    <s v="Kadoma Central"/>
    <x v="0"/>
    <n v="52"/>
    <n v="13"/>
    <n v="19190"/>
    <n v="9981"/>
    <n v="490"/>
    <n v="356"/>
    <n v="30017"/>
  </r>
  <r>
    <x v="5"/>
    <s v="Mhondoro Ngezi"/>
    <x v="1"/>
    <n v="57"/>
    <n v="11"/>
    <n v="10407"/>
    <n v="11475"/>
    <n v="723"/>
    <n v="290"/>
    <n v="22895"/>
  </r>
  <r>
    <x v="5"/>
    <s v="Muzvezve"/>
    <x v="2"/>
    <n v="64"/>
    <n v="9"/>
    <n v="10648"/>
    <n v="21954"/>
    <n v="785"/>
    <n v="513"/>
    <n v="33900"/>
  </r>
  <r>
    <x v="5"/>
    <s v="Sanyati"/>
    <x v="1"/>
    <n v="41"/>
    <n v="12"/>
    <n v="5519"/>
    <n v="11347"/>
    <n v="655"/>
    <n v="321"/>
    <n v="17842"/>
  </r>
  <r>
    <x v="5"/>
    <s v="Zvimba East"/>
    <x v="1"/>
    <n v="63"/>
    <n v="5"/>
    <n v="16179"/>
    <n v="15465"/>
    <n v="755"/>
    <n v="470"/>
    <n v="32869"/>
  </r>
  <r>
    <x v="5"/>
    <s v="Zvimba North"/>
    <x v="1"/>
    <n v="61"/>
    <n v="8"/>
    <n v="3747"/>
    <n v="20263"/>
    <n v="624"/>
    <n v="421"/>
    <n v="25055"/>
  </r>
  <r>
    <x v="5"/>
    <s v="Zvimba South"/>
    <x v="1"/>
    <n v="57"/>
    <n v="9"/>
    <n v="7706"/>
    <n v="13298"/>
    <n v="666"/>
    <n v="405"/>
    <n v="22075"/>
  </r>
  <r>
    <x v="5"/>
    <s v="Zvimba West"/>
    <x v="1"/>
    <n v="50"/>
    <n v="13"/>
    <n v="8474"/>
    <n v="8205"/>
    <n v="761"/>
    <n v="226"/>
    <n v="17666"/>
  </r>
  <r>
    <x v="6"/>
    <s v="Bikita East"/>
    <x v="1"/>
    <n v="63"/>
    <n v="11"/>
    <n v="8633"/>
    <n v="9849"/>
    <n v="933"/>
    <n v="417"/>
    <n v="19832"/>
  </r>
  <r>
    <x v="6"/>
    <s v="Bikita South"/>
    <x v="1"/>
    <n v="52"/>
    <n v="10"/>
    <n v="6575"/>
    <n v="9853"/>
    <n v="778"/>
    <n v="300"/>
    <n v="17506"/>
  </r>
  <r>
    <x v="6"/>
    <s v="Bikita West"/>
    <x v="1"/>
    <n v="61"/>
    <n v="11"/>
    <n v="8712"/>
    <n v="11907"/>
    <n v="811"/>
    <n v="359"/>
    <n v="21789"/>
  </r>
  <r>
    <x v="6"/>
    <s v="Chiredzi East"/>
    <x v="1"/>
    <n v="35"/>
    <n v="9"/>
    <n v="4091"/>
    <n v="9940"/>
    <n v="850"/>
    <n v="349"/>
    <n v="15230"/>
  </r>
  <r>
    <x v="6"/>
    <s v="Chiredzi North"/>
    <x v="1"/>
    <n v="83"/>
    <n v="11"/>
    <n v="3091"/>
    <n v="33841"/>
    <n v="955"/>
    <n v="524"/>
    <n v="38411"/>
  </r>
  <r>
    <x v="6"/>
    <s v="Chiredzi South"/>
    <x v="1"/>
    <n v="41"/>
    <n v="7"/>
    <n v="2678"/>
    <n v="9176"/>
    <n v="990"/>
    <n v="551"/>
    <n v="13395"/>
  </r>
  <r>
    <x v="6"/>
    <s v="Chiredzi West*"/>
    <x v="2"/>
    <n v="60"/>
    <n v="13"/>
    <n v="17842"/>
    <n v="14174"/>
    <n v="748"/>
    <n v="622"/>
    <n v="33386"/>
  </r>
  <r>
    <x v="6"/>
    <s v="Chivi Central"/>
    <x v="1"/>
    <n v="60"/>
    <n v="11"/>
    <n v="6481"/>
    <n v="12974"/>
    <n v="883"/>
    <n v="329"/>
    <n v="20667"/>
  </r>
  <r>
    <x v="6"/>
    <s v="Chivi North*"/>
    <x v="1"/>
    <n v="51"/>
    <n v="11"/>
    <n v="5677"/>
    <n v="9914"/>
    <n v="449"/>
    <n v="275"/>
    <n v="16315"/>
  </r>
  <r>
    <x v="6"/>
    <s v="Chivi South"/>
    <x v="1"/>
    <n v="51"/>
    <n v="10"/>
    <n v="4897"/>
    <n v="13439"/>
    <n v="822"/>
    <n v="475"/>
    <n v="19633"/>
  </r>
  <r>
    <x v="6"/>
    <s v="Gutu Central"/>
    <x v="1"/>
    <n v="43"/>
    <n v="10"/>
    <n v="7164"/>
    <n v="9082"/>
    <n v="574"/>
    <n v="452"/>
    <n v="17272"/>
  </r>
  <r>
    <x v="6"/>
    <s v="Gutu East"/>
    <x v="1"/>
    <n v="39"/>
    <n v="7"/>
    <n v="5404"/>
    <n v="7157"/>
    <n v="679"/>
    <n v="335"/>
    <n v="13575"/>
  </r>
  <r>
    <x v="6"/>
    <s v="Gutu North"/>
    <x v="1"/>
    <n v="34"/>
    <n v="6"/>
    <n v="4286"/>
    <n v="6949"/>
    <n v="556"/>
    <n v="238"/>
    <n v="12029"/>
  </r>
  <r>
    <x v="6"/>
    <s v="Gutu South"/>
    <x v="1"/>
    <n v="43"/>
    <n v="9"/>
    <n v="6522"/>
    <n v="7577"/>
    <n v="546"/>
    <n v="253"/>
    <n v="14898"/>
  </r>
  <r>
    <x v="6"/>
    <s v="Gutu West"/>
    <x v="1"/>
    <n v="52"/>
    <n v="9"/>
    <n v="4822"/>
    <n v="12747"/>
    <n v="597"/>
    <n v="346"/>
    <n v="18512"/>
  </r>
  <r>
    <x v="6"/>
    <s v="Masvingo Central"/>
    <x v="1"/>
    <n v="44"/>
    <n v="9"/>
    <n v="5921"/>
    <n v="8525"/>
    <n v="826"/>
    <n v="241"/>
    <n v="15513"/>
  </r>
  <r>
    <x v="6"/>
    <s v="Masvingo North"/>
    <x v="1"/>
    <n v="64"/>
    <n v="9"/>
    <n v="6022"/>
    <n v="12690"/>
    <n v="566"/>
    <n v="261"/>
    <n v="19539"/>
  </r>
  <r>
    <x v="6"/>
    <s v="Masvingo South"/>
    <x v="1"/>
    <n v="37"/>
    <n v="8"/>
    <n v="5507"/>
    <n v="10652"/>
    <n v="933"/>
    <n v="308"/>
    <n v="17400"/>
  </r>
  <r>
    <x v="6"/>
    <s v="Masvingo Urban"/>
    <x v="0"/>
    <n v="63"/>
    <n v="10"/>
    <n v="23073"/>
    <n v="11713"/>
    <n v="424"/>
    <n v="225"/>
    <n v="35435"/>
  </r>
  <r>
    <x v="6"/>
    <s v="Masvingo West"/>
    <x v="1"/>
    <n v="46"/>
    <n v="8"/>
    <n v="6661"/>
    <n v="9217"/>
    <n v="459"/>
    <n v="213"/>
    <n v="16550"/>
  </r>
  <r>
    <x v="6"/>
    <s v="Mwenezi East"/>
    <x v="1"/>
    <n v="65"/>
    <n v="8"/>
    <n v="4604"/>
    <n v="21553"/>
    <n v="1095"/>
    <n v="641"/>
    <n v="27893"/>
  </r>
  <r>
    <x v="6"/>
    <s v="Mwenezi West"/>
    <x v="1"/>
    <n v="61"/>
    <n v="9"/>
    <n v="1627"/>
    <n v="26475"/>
    <n v="821"/>
    <n v="645"/>
    <n v="29568"/>
  </r>
  <r>
    <x v="6"/>
    <s v="Zaka Central"/>
    <x v="1"/>
    <n v="47"/>
    <n v="8"/>
    <n v="7143"/>
    <n v="11320"/>
    <n v="760"/>
    <n v="411"/>
    <n v="19634"/>
  </r>
  <r>
    <x v="6"/>
    <s v="Zaka East"/>
    <x v="1"/>
    <n v="38"/>
    <n v="7"/>
    <n v="3549"/>
    <n v="8945"/>
    <n v="616"/>
    <n v="336"/>
    <n v="13446"/>
  </r>
  <r>
    <x v="6"/>
    <s v="Zaka North*"/>
    <x v="1"/>
    <n v="49"/>
    <n v="10"/>
    <n v="6360"/>
    <n v="11233"/>
    <n v="805"/>
    <n v="424"/>
    <n v="18822"/>
  </r>
  <r>
    <x v="6"/>
    <s v="Zaka West"/>
    <x v="1"/>
    <n v="33"/>
    <n v="8"/>
    <n v="4096"/>
    <n v="8062"/>
    <n v="645"/>
    <n v="390"/>
    <n v="13193"/>
  </r>
  <r>
    <x v="7"/>
    <s v="Binga North"/>
    <x v="1"/>
    <n v="69"/>
    <n v="15"/>
    <n v="19034"/>
    <n v="6946"/>
    <n v="1706"/>
    <n v="1003"/>
    <n v="28689"/>
  </r>
  <r>
    <x v="7"/>
    <s v="Binga South"/>
    <x v="1"/>
    <n v="69"/>
    <n v="9"/>
    <n v="17799"/>
    <n v="7176"/>
    <n v="1953"/>
    <n v="1032"/>
    <n v="27960"/>
  </r>
  <r>
    <x v="7"/>
    <s v="Bubi"/>
    <x v="1"/>
    <n v="96"/>
    <n v="27"/>
    <n v="6966"/>
    <n v="16892"/>
    <n v="3117"/>
    <n v="605"/>
    <n v="27580"/>
  </r>
  <r>
    <x v="7"/>
    <s v="Hwange Central"/>
    <x v="2"/>
    <n v="52"/>
    <n v="17"/>
    <n v="18475"/>
    <n v="3930"/>
    <n v="704"/>
    <n v="343"/>
    <n v="23452"/>
  </r>
  <r>
    <x v="7"/>
    <s v="Hwange East"/>
    <x v="1"/>
    <n v="60"/>
    <n v="12"/>
    <n v="12907"/>
    <n v="5291"/>
    <n v="1101"/>
    <n v="405"/>
    <n v="19704"/>
  </r>
  <r>
    <x v="7"/>
    <s v="Hwange West"/>
    <x v="2"/>
    <n v="62"/>
    <n v="17"/>
    <n v="17526"/>
    <n v="8320"/>
    <n v="1299"/>
    <n v="366"/>
    <n v="27511"/>
  </r>
  <r>
    <x v="7"/>
    <s v="Lupane East"/>
    <x v="1"/>
    <n v="62"/>
    <n v="14"/>
    <n v="6608"/>
    <n v="8415"/>
    <n v="1546"/>
    <n v="425"/>
    <n v="16994"/>
  </r>
  <r>
    <x v="7"/>
    <s v="Lupane West"/>
    <x v="1"/>
    <n v="63"/>
    <n v="14"/>
    <n v="6586"/>
    <n v="6439"/>
    <n v="1070"/>
    <n v="354"/>
    <n v="14449"/>
  </r>
  <r>
    <x v="7"/>
    <s v="Nkayi North"/>
    <x v="1"/>
    <n v="55"/>
    <n v="14"/>
    <n v="3989"/>
    <n v="8955"/>
    <n v="4421"/>
    <n v="499"/>
    <n v="17864"/>
  </r>
  <r>
    <x v="7"/>
    <s v="Nkayi South"/>
    <x v="1"/>
    <n v="62"/>
    <n v="16"/>
    <n v="7389"/>
    <n v="7471"/>
    <n v="4296"/>
    <n v="701"/>
    <n v="19857"/>
  </r>
  <r>
    <x v="7"/>
    <s v="Tsholotsho North"/>
    <x v="1"/>
    <n v="76"/>
    <n v="10"/>
    <n v="5580"/>
    <n v="7148"/>
    <n v="1159"/>
    <n v="224"/>
    <n v="14111"/>
  </r>
  <r>
    <x v="7"/>
    <s v="Tsholotsho South"/>
    <x v="1"/>
    <n v="67"/>
    <n v="12"/>
    <n v="5102"/>
    <n v="8671"/>
    <n v="1567"/>
    <n v="310"/>
    <n v="15650"/>
  </r>
  <r>
    <x v="7"/>
    <s v="Umguza"/>
    <x v="1"/>
    <n v="84"/>
    <n v="15"/>
    <n v="9650"/>
    <n v="15798"/>
    <n v="1341"/>
    <n v="505"/>
    <n v="27294"/>
  </r>
  <r>
    <x v="8"/>
    <s v="Beitbridge East"/>
    <x v="2"/>
    <n v="59"/>
    <n v="13"/>
    <n v="13160"/>
    <n v="13042"/>
    <n v="1178"/>
    <n v="492"/>
    <n v="27872"/>
  </r>
  <r>
    <x v="8"/>
    <s v="Beitbridge West"/>
    <x v="1"/>
    <n v="47"/>
    <n v="8"/>
    <n v="3597"/>
    <n v="8049"/>
    <n v="1257"/>
    <n v="386"/>
    <n v="13289"/>
  </r>
  <r>
    <x v="8"/>
    <s v="Bulilima East"/>
    <x v="2"/>
    <n v="56"/>
    <n v="17"/>
    <n v="5798"/>
    <n v="7960"/>
    <n v="818"/>
    <n v="266"/>
    <n v="14842"/>
  </r>
  <r>
    <x v="8"/>
    <s v="Bulilima West"/>
    <x v="1"/>
    <n v="53"/>
    <n v="13"/>
    <n v="4278"/>
    <n v="7071"/>
    <n v="1385"/>
    <n v="289"/>
    <n v="13023"/>
  </r>
  <r>
    <x v="8"/>
    <s v="Gwanda Central"/>
    <x v="2"/>
    <n v="60"/>
    <n v="14"/>
    <n v="12833"/>
    <n v="8909"/>
    <n v="880"/>
    <n v="254"/>
    <n v="22876"/>
  </r>
  <r>
    <x v="8"/>
    <s v="Gwanda North"/>
    <x v="1"/>
    <n v="47"/>
    <n v="11"/>
    <n v="6968"/>
    <n v="5118"/>
    <n v="1130"/>
    <n v="301"/>
    <n v="13517"/>
  </r>
  <r>
    <x v="8"/>
    <s v="Gwanda South"/>
    <x v="1"/>
    <n v="33"/>
    <n v="8"/>
    <n v="4827"/>
    <n v="6281"/>
    <n v="964"/>
    <n v="212"/>
    <n v="12284"/>
  </r>
  <r>
    <x v="8"/>
    <s v="Insiza North"/>
    <x v="1"/>
    <n v="67"/>
    <n v="12"/>
    <n v="6534"/>
    <n v="13194"/>
    <n v="1163"/>
    <n v="345"/>
    <n v="21236"/>
  </r>
  <r>
    <x v="8"/>
    <s v="Insiza South"/>
    <x v="1"/>
    <n v="37"/>
    <n v="11"/>
    <n v="5242"/>
    <n v="5822"/>
    <n v="1010"/>
    <n v="168"/>
    <n v="12242"/>
  </r>
  <r>
    <x v="8"/>
    <s v="Mangwe"/>
    <x v="1"/>
    <n v="54"/>
    <n v="15"/>
    <n v="6124"/>
    <n v="7390"/>
    <n v="1514"/>
    <n v="351"/>
    <n v="15379"/>
  </r>
  <r>
    <x v="8"/>
    <s v="Matobo North "/>
    <x v="1"/>
    <n v="45"/>
    <n v="15"/>
    <n v="6348"/>
    <n v="7982"/>
    <n v="1252"/>
    <n v="312"/>
    <n v="15894"/>
  </r>
  <r>
    <x v="8"/>
    <s v="Matobo South"/>
    <x v="1"/>
    <n v="28"/>
    <n v="10"/>
    <n v="5099"/>
    <n v="6187"/>
    <n v="1167"/>
    <n v="219"/>
    <n v="12672"/>
  </r>
  <r>
    <x v="8"/>
    <s v="Umzingwane"/>
    <x v="1"/>
    <n v="77"/>
    <n v="19"/>
    <n v="9484"/>
    <n v="10273"/>
    <n v="1229"/>
    <n v="485"/>
    <n v="21471"/>
  </r>
  <r>
    <x v="9"/>
    <s v="Chirumanzu"/>
    <x v="1"/>
    <n v="62"/>
    <n v="13"/>
    <n v="6100"/>
    <n v="9680"/>
    <n v="532"/>
    <n v="233"/>
    <n v="16545"/>
  </r>
  <r>
    <x v="9"/>
    <s v="Chirumanzu Zibagwe"/>
    <x v="1"/>
    <n v="86"/>
    <n v="15"/>
    <n v="7107"/>
    <n v="19862"/>
    <n v="516"/>
    <n v="418"/>
    <n v="27903"/>
  </r>
  <r>
    <x v="9"/>
    <s v="Gokwe Chirega*"/>
    <x v="1"/>
    <n v="49"/>
    <n v="9"/>
    <n v="3767"/>
    <n v="19375"/>
    <n v="735"/>
    <n v="557"/>
    <n v="24434"/>
  </r>
  <r>
    <x v="9"/>
    <s v="Gokwe Gumunyu"/>
    <x v="1"/>
    <n v="50"/>
    <n v="9"/>
    <n v="2890"/>
    <n v="15107"/>
    <n v="560"/>
    <n v="361"/>
    <n v="18918"/>
  </r>
  <r>
    <x v="9"/>
    <s v="Gokwe Kabuguni"/>
    <x v="1"/>
    <n v="53"/>
    <n v="9"/>
    <n v="7826"/>
    <n v="15222"/>
    <n v="1224"/>
    <n v="729"/>
    <n v="25001"/>
  </r>
  <r>
    <x v="9"/>
    <s v="Gokwe Nembudziya"/>
    <x v="1"/>
    <n v="53"/>
    <n v="9"/>
    <n v="7635"/>
    <n v="13124"/>
    <n v="599"/>
    <n v="425"/>
    <n v="21783"/>
  </r>
  <r>
    <x v="9"/>
    <s v="Gokwe Central "/>
    <x v="2"/>
    <n v="57"/>
    <n v="10"/>
    <n v="11588"/>
    <n v="11263"/>
    <n v="1135"/>
    <n v="446"/>
    <n v="24432"/>
  </r>
  <r>
    <x v="9"/>
    <s v="Gokwe Kana"/>
    <x v="1"/>
    <n v="48"/>
    <n v="8"/>
    <n v="5978"/>
    <n v="12032"/>
    <n v="1139"/>
    <n v="813"/>
    <n v="19962"/>
  </r>
  <r>
    <x v="9"/>
    <s v="Gokwe Mapfungautsi"/>
    <x v="1"/>
    <n v="50"/>
    <n v="7"/>
    <n v="8483"/>
    <n v="15686"/>
    <n v="1338"/>
    <n v="548"/>
    <n v="26055"/>
  </r>
  <r>
    <x v="9"/>
    <s v="Gokwe Sesame"/>
    <x v="1"/>
    <n v="52"/>
    <n v="7"/>
    <n v="8851"/>
    <n v="13890"/>
    <n v="1569"/>
    <n v="758"/>
    <n v="25068"/>
  </r>
  <r>
    <x v="9"/>
    <s v="Gokwe Sengwa"/>
    <x v="1"/>
    <n v="41"/>
    <n v="7"/>
    <n v="4283"/>
    <n v="12605"/>
    <n v="925"/>
    <n v="500"/>
    <n v="18313"/>
  </r>
  <r>
    <x v="9"/>
    <s v="Chiwundura"/>
    <x v="2"/>
    <n v="82"/>
    <n v="12"/>
    <n v="18453"/>
    <n v="14718"/>
    <n v="767"/>
    <n v="368"/>
    <n v="34306"/>
  </r>
  <r>
    <x v="9"/>
    <s v="Gweru Urban"/>
    <x v="0"/>
    <n v="50"/>
    <n v="7"/>
    <n v="19554"/>
    <n v="8046"/>
    <n v="548"/>
    <n v="234"/>
    <n v="28382"/>
  </r>
  <r>
    <x v="9"/>
    <s v="Gweru Mkoba"/>
    <x v="0"/>
    <n v="52"/>
    <n v="7"/>
    <n v="20775"/>
    <n v="6813"/>
    <n v="479"/>
    <n v="281"/>
    <n v="28348"/>
  </r>
  <r>
    <x v="9"/>
    <s v="Vungu"/>
    <x v="1"/>
    <n v="55"/>
    <n v="11"/>
    <n v="8639"/>
    <n v="10774"/>
    <n v="1183"/>
    <n v="404"/>
    <n v="21000"/>
  </r>
  <r>
    <x v="9"/>
    <s v="Kwekwe Central"/>
    <x v="0"/>
    <n v="33"/>
    <n v="8"/>
    <n v="15202"/>
    <n v="4888"/>
    <n v="393"/>
    <n v="206"/>
    <n v="20689"/>
  </r>
  <r>
    <x v="9"/>
    <s v="Kwekwe Mbizo"/>
    <x v="0"/>
    <n v="39"/>
    <n v="6"/>
    <n v="18564"/>
    <n v="5597"/>
    <n v="472"/>
    <n v="316"/>
    <n v="24949"/>
  </r>
  <r>
    <x v="9"/>
    <s v="Redcliff"/>
    <x v="2"/>
    <n v="62"/>
    <n v="14"/>
    <n v="13625"/>
    <n v="10434"/>
    <n v="717"/>
    <n v="500"/>
    <n v="25276"/>
  </r>
  <r>
    <x v="9"/>
    <s v="Kwekwe Silobela"/>
    <x v="1"/>
    <n v="63"/>
    <n v="14"/>
    <n v="9375"/>
    <n v="13297"/>
    <n v="1292"/>
    <n v="643"/>
    <n v="24607"/>
  </r>
  <r>
    <x v="9"/>
    <s v="Zhombe"/>
    <x v="1"/>
    <n v="62"/>
    <n v="11"/>
    <n v="8931"/>
    <n v="13867"/>
    <n v="1013"/>
    <n v="441"/>
    <n v="24252"/>
  </r>
  <r>
    <x v="9"/>
    <s v="Mberengwa East"/>
    <x v="1"/>
    <n v="37"/>
    <n v="7"/>
    <n v="3596"/>
    <n v="9550"/>
    <n v="513"/>
    <n v="210"/>
    <n v="13869"/>
  </r>
  <r>
    <x v="9"/>
    <s v="Mberengwa North"/>
    <x v="1"/>
    <n v="53"/>
    <n v="12"/>
    <n v="3449"/>
    <n v="18392"/>
    <n v="541"/>
    <n v="377"/>
    <n v="22759"/>
  </r>
  <r>
    <x v="9"/>
    <s v="Mberengwa South"/>
    <x v="1"/>
    <n v="51"/>
    <n v="10"/>
    <n v="2830"/>
    <n v="12814"/>
    <n v="550"/>
    <n v="306"/>
    <n v="16500"/>
  </r>
  <r>
    <x v="9"/>
    <s v="Mberengwa West"/>
    <x v="1"/>
    <n v="41"/>
    <n v="8"/>
    <n v="3120"/>
    <n v="9525"/>
    <n v="489"/>
    <n v="278"/>
    <n v="13412"/>
  </r>
  <r>
    <x v="9"/>
    <s v="Shurugwi North"/>
    <x v="2"/>
    <n v="75"/>
    <n v="21"/>
    <n v="10363"/>
    <n v="16470"/>
    <n v="546"/>
    <n v="396"/>
    <n v="27775"/>
  </r>
  <r>
    <x v="9"/>
    <s v="Shurugwi South"/>
    <x v="1"/>
    <n v="54"/>
    <n v="15"/>
    <n v="5476"/>
    <n v="12293"/>
    <n v="509"/>
    <n v="301"/>
    <n v="18579"/>
  </r>
  <r>
    <x v="9"/>
    <s v="Zvishavane Ngezi"/>
    <x v="2"/>
    <n v="66"/>
    <n v="16"/>
    <n v="16407"/>
    <n v="13212"/>
    <n v="448"/>
    <n v="284"/>
    <n v="30351"/>
  </r>
  <r>
    <x v="9"/>
    <s v="Zvishavane Runde"/>
    <x v="1"/>
    <n v="61"/>
    <n v="13"/>
    <n v="5093"/>
    <n v="13491"/>
    <n v="542"/>
    <n v="339"/>
    <n v="1946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A18:B29" firstHeaderRow="1" firstDataRow="1" firstDataCol="1"/>
  <pivotFields count="10">
    <pivotField axis="axisRow" compact="0" showAll="0" sortType="ascending">
      <items count="11">
        <item sd="0"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compact="0" showAll="0"/>
    <pivotField compact="0" showAll="0">
      <items count="4">
        <item x="1"/>
        <item x="2"/>
        <item x="0"/>
        <item t="default"/>
      </items>
    </pivotField>
    <pivotField compact="0" showAll="0"/>
    <pivotField compact="0" showAll="0"/>
    <pivotField compact="0" showAll="0"/>
    <pivotField compact="0" showAll="0"/>
    <pivotField compact="0" showAll="0"/>
    <pivotField compact="0" showAll="0"/>
    <pivotField dataField="1" compact="0" showAll="0"/>
  </pivotFields>
  <rowFields count="1">
    <field x="0"/>
  </rowFields>
  <rowItems count="11">
    <i>
      <x v="8"/>
    </i>
    <i>
      <x/>
    </i>
    <i>
      <x v="7"/>
    </i>
    <i>
      <x v="3"/>
    </i>
    <i>
      <x v="6"/>
    </i>
    <i>
      <x v="4"/>
    </i>
    <i>
      <x v="5"/>
    </i>
    <i>
      <x v="2"/>
    </i>
    <i>
      <x v="9"/>
    </i>
    <i>
      <x v="1"/>
    </i>
    <i t="grand">
      <x/>
    </i>
  </rowItems>
  <colItems count="1">
    <i/>
  </colItems>
  <dataFields count="1">
    <dataField name="Percentage contribution" fld="9" showDataAs="percentOfTotal" baseField="0" baseItem="4" numFmtId="10"/>
  </dataFields>
  <formats count="2">
    <format dxfId="14">
      <pivotArea outline="0" collapsedLevelsAreSubtotals="1" fieldPosition="0"/>
    </format>
    <format dxfId="13">
      <pivotArea dataOnly="0" labelOnly="1" outline="0" axis="axisValues" fieldPosition="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4">
  <location ref="A4:C15" firstHeaderRow="0" firstDataRow="1" firstDataCol="1"/>
  <pivotFields count="10">
    <pivotField axis="axisRow" showAll="0">
      <items count="11">
        <item x="0"/>
        <item x="1"/>
        <item x="2"/>
        <item x="3"/>
        <item x="4"/>
        <item x="5"/>
        <item x="6"/>
        <item x="7"/>
        <item x="8"/>
        <item x="9"/>
        <item t="default"/>
      </items>
    </pivotField>
    <pivotField showAll="0"/>
    <pivotField showAll="0">
      <items count="4">
        <item x="1"/>
        <item x="2"/>
        <item x="0"/>
        <item t="default"/>
      </items>
    </pivotField>
    <pivotField showAll="0"/>
    <pivotField showAll="0"/>
    <pivotField dataField="1" showAll="0"/>
    <pivotField dataField="1" showAll="0"/>
    <pivotField showAll="0"/>
    <pivotField showAll="0"/>
    <pivotField showAll="0"/>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Sum of Votes for ZANU-PF" fld="6" baseField="0" baseItem="0"/>
    <dataField name="Sum of Votes for MDC-A" fld="5"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location ref="A53:B64" firstHeaderRow="1" firstDataRow="1" firstDataCol="1"/>
  <pivotFields count="10">
    <pivotField axis="axisRow" showAll="0">
      <items count="11">
        <item x="0"/>
        <item x="1"/>
        <item x="2"/>
        <item x="3"/>
        <item x="4"/>
        <item x="5"/>
        <item x="6"/>
        <item x="7"/>
        <item x="8"/>
        <item x="9"/>
        <item t="default"/>
      </items>
    </pivotField>
    <pivotField dataField="1" showAll="0"/>
    <pivotField showAll="0">
      <items count="4">
        <item x="1"/>
        <item x="2"/>
        <item x="0"/>
        <item t="default"/>
      </items>
    </pivotField>
    <pivotField showAll="0"/>
    <pivotField showAll="0"/>
    <pivotField showAll="0"/>
    <pivotField showAll="0"/>
    <pivotField showAll="0"/>
    <pivotField showAll="0"/>
    <pivotField showAll="0"/>
  </pivotFields>
  <rowFields count="1">
    <field x="0"/>
  </rowFields>
  <rowItems count="11">
    <i>
      <x/>
    </i>
    <i>
      <x v="1"/>
    </i>
    <i>
      <x v="2"/>
    </i>
    <i>
      <x v="3"/>
    </i>
    <i>
      <x v="4"/>
    </i>
    <i>
      <x v="5"/>
    </i>
    <i>
      <x v="6"/>
    </i>
    <i>
      <x v="7"/>
    </i>
    <i>
      <x v="8"/>
    </i>
    <i>
      <x v="9"/>
    </i>
    <i t="grand">
      <x/>
    </i>
  </rowItems>
  <colItems count="1">
    <i/>
  </colItems>
  <dataFields count="1">
    <dataField name="Count of Constituency" fld="1" subtotal="count" baseField="0" baseItem="0"/>
  </dataFields>
  <chartFormats count="3">
    <chartFormat chart="0"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location ref="A47:C48" firstHeaderRow="0" firstDataRow="1" firstDataCol="0"/>
  <pivotFields count="10">
    <pivotField showAll="0"/>
    <pivotField showAll="0"/>
    <pivotField showAll="0">
      <items count="4">
        <item x="1"/>
        <item x="2"/>
        <item x="0"/>
        <item t="default"/>
      </items>
    </pivotField>
    <pivotField showAll="0"/>
    <pivotField showAll="0"/>
    <pivotField dataField="1" showAll="0"/>
    <pivotField dataField="1" showAll="0"/>
    <pivotField dataField="1" showAll="0"/>
    <pivotField showAll="0"/>
    <pivotField showAll="0"/>
  </pivotFields>
  <rowItems count="1">
    <i/>
  </rowItems>
  <colFields count="1">
    <field x="-2"/>
  </colFields>
  <colItems count="3">
    <i>
      <x/>
    </i>
    <i i="1">
      <x v="1"/>
    </i>
    <i i="2">
      <x v="2"/>
    </i>
  </colItems>
  <dataFields count="3">
    <dataField name="Sum of Votes for other Parties" fld="7" baseField="0" baseItem="0"/>
    <dataField name="Sum of Votes for ZANU-PF" fld="6" baseField="0" baseItem="0"/>
    <dataField name="Sum of Votes for MDC-A" fld="5"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location ref="A33:B44" firstHeaderRow="1" firstDataRow="1" firstDataCol="1"/>
  <pivotFields count="10">
    <pivotField axis="axisRow" showAll="0">
      <items count="11">
        <item x="0"/>
        <item x="1"/>
        <item x="2"/>
        <item x="3"/>
        <item x="4"/>
        <item x="5"/>
        <item x="6"/>
        <item x="7"/>
        <item x="8"/>
        <item x="9"/>
        <item t="default"/>
      </items>
    </pivotField>
    <pivotField showAll="0"/>
    <pivotField showAll="0">
      <items count="4">
        <item x="1"/>
        <item x="2"/>
        <item x="0"/>
        <item t="default"/>
      </items>
    </pivotField>
    <pivotField showAll="0"/>
    <pivotField dataField="1" showAll="0"/>
    <pivotField showAll="0"/>
    <pivotField showAll="0"/>
    <pivotField showAll="0"/>
    <pivotField showAll="0"/>
    <pivotField showAll="0"/>
  </pivotFields>
  <rowFields count="1">
    <field x="0"/>
  </rowFields>
  <rowItems count="11">
    <i>
      <x/>
    </i>
    <i>
      <x v="1"/>
    </i>
    <i>
      <x v="2"/>
    </i>
    <i>
      <x v="3"/>
    </i>
    <i>
      <x v="4"/>
    </i>
    <i>
      <x v="5"/>
    </i>
    <i>
      <x v="6"/>
    </i>
    <i>
      <x v="7"/>
    </i>
    <i>
      <x v="8"/>
    </i>
    <i>
      <x v="9"/>
    </i>
    <i t="grand">
      <x/>
    </i>
  </rowItems>
  <colItems count="1">
    <i/>
  </colItems>
  <dataFields count="1">
    <dataField name="Sum of Number of wards in constituency" fld="4" baseField="0" baseItem="0"/>
  </dataFields>
  <chartFormats count="2">
    <chartFormat chart="0"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ettlement" sourceName="Settlement">
  <pivotTables>
    <pivotTable tabId="6" name="PivotTable9"/>
    <pivotTable tabId="6" name="PivotTable11"/>
    <pivotTable tabId="6" name="PivotTable13"/>
    <pivotTable tabId="6" name="PivotTable19"/>
    <pivotTable tabId="6" name="PivotTable21"/>
  </pivotTables>
  <data>
    <tabular pivotCacheId="1">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ttlement" cache="Slicer_Settlement" caption="Settlement" style="SlicerStyleLight3" rowHeight="241300"/>
</slicers>
</file>

<file path=xl/tables/table1.xml><?xml version="1.0" encoding="utf-8"?>
<table xmlns="http://schemas.openxmlformats.org/spreadsheetml/2006/main" id="1" name="Table1" displayName="Table1" ref="A3:J213" totalsRowShown="0" headerRowDxfId="0" dataDxfId="1" tableBorderDxfId="12">
  <autoFilter ref="A3:J213"/>
  <tableColumns count="10">
    <tableColumn id="1" name="Province" dataDxfId="11"/>
    <tableColumn id="2" name="Constituency" dataDxfId="10"/>
    <tableColumn id="3" name="Settlement" dataDxfId="9"/>
    <tableColumn id="4" name="Number of polling stations" dataDxfId="8"/>
    <tableColumn id="5" name="Number of wards in constituency" dataDxfId="7"/>
    <tableColumn id="6" name="Votes for MDC-A" dataDxfId="6"/>
    <tableColumn id="7" name="Votes for ZANU-PF" dataDxfId="5"/>
    <tableColumn id="8" name="Votes for other Parties" dataDxfId="4">
      <calculatedColumnFormula>J4-I4-G4-F4</calculatedColumnFormula>
    </tableColumn>
    <tableColumn id="9" name="Spoilt votes" dataDxfId="3"/>
    <tableColumn id="10" name="Total votes cas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249977111117893"/>
  </sheetPr>
  <dimension ref="A1:I12"/>
  <sheetViews>
    <sheetView showGridLines="0" zoomScale="87" zoomScaleNormal="87" workbookViewId="0"/>
  </sheetViews>
  <sheetFormatPr defaultRowHeight="15" x14ac:dyDescent="0.25"/>
  <cols>
    <col min="1" max="1" width="20.28515625" style="2" customWidth="1"/>
    <col min="2" max="2" width="23.85546875" style="2" customWidth="1"/>
    <col min="3" max="3" width="13.140625" style="2" customWidth="1"/>
    <col min="4" max="4" width="26.7109375" style="2" customWidth="1"/>
    <col min="5" max="5" width="32.28515625" style="2" customWidth="1"/>
    <col min="6" max="6" width="18" style="2" customWidth="1"/>
    <col min="7" max="7" width="19.7109375" style="2" customWidth="1"/>
    <col min="8" max="8" width="23.140625" style="2" customWidth="1"/>
    <col min="9" max="9" width="13.5703125" style="2" customWidth="1"/>
    <col min="10" max="10" width="16.7109375" style="2" customWidth="1"/>
    <col min="11" max="16384" width="9.140625" style="2"/>
  </cols>
  <sheetData>
    <row r="1" spans="1:9" x14ac:dyDescent="0.25">
      <c r="A1" s="2" t="s">
        <v>241</v>
      </c>
    </row>
    <row r="12" spans="1:9" x14ac:dyDescent="0.25">
      <c r="H12" s="2" t="s">
        <v>241</v>
      </c>
      <c r="I12" s="2" t="s">
        <v>241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J213"/>
  <sheetViews>
    <sheetView topLeftCell="A3" zoomScale="87" zoomScaleNormal="87" workbookViewId="0">
      <selection activeCell="I16" sqref="I16"/>
    </sheetView>
  </sheetViews>
  <sheetFormatPr defaultRowHeight="15" x14ac:dyDescent="0.25"/>
  <cols>
    <col min="1" max="1" width="21.7109375" customWidth="1"/>
    <col min="2" max="2" width="25" customWidth="1"/>
    <col min="3" max="3" width="15" customWidth="1"/>
    <col min="4" max="4" width="27" customWidth="1"/>
    <col min="5" max="5" width="32.85546875" customWidth="1"/>
    <col min="6" max="6" width="18.28515625" customWidth="1"/>
    <col min="7" max="7" width="19.85546875" customWidth="1"/>
    <col min="8" max="8" width="23.85546875" customWidth="1"/>
    <col min="9" max="9" width="13.5703125" customWidth="1"/>
    <col min="10" max="10" width="16.85546875" customWidth="1"/>
  </cols>
  <sheetData>
    <row r="1" spans="1:10" ht="18.75" x14ac:dyDescent="0.3">
      <c r="A1" s="1" t="s">
        <v>240</v>
      </c>
      <c r="B1" s="1"/>
    </row>
    <row r="3" spans="1:10" ht="15.75" thickBot="1" x14ac:dyDescent="0.3">
      <c r="A3" s="15" t="s">
        <v>0</v>
      </c>
      <c r="B3" s="15" t="s">
        <v>1</v>
      </c>
      <c r="C3" s="15" t="s">
        <v>228</v>
      </c>
      <c r="D3" s="16" t="s">
        <v>4</v>
      </c>
      <c r="E3" s="16" t="s">
        <v>77</v>
      </c>
      <c r="F3" s="16" t="s">
        <v>7</v>
      </c>
      <c r="G3" s="16" t="s">
        <v>8</v>
      </c>
      <c r="H3" s="16" t="s">
        <v>9</v>
      </c>
      <c r="I3" s="16" t="s">
        <v>2</v>
      </c>
      <c r="J3" s="16" t="s">
        <v>3</v>
      </c>
    </row>
    <row r="4" spans="1:10" x14ac:dyDescent="0.25">
      <c r="A4" s="14" t="s">
        <v>5</v>
      </c>
      <c r="B4" s="14" t="s">
        <v>6</v>
      </c>
      <c r="C4" s="14" t="s">
        <v>231</v>
      </c>
      <c r="D4" s="14">
        <v>51</v>
      </c>
      <c r="E4" s="14">
        <v>3</v>
      </c>
      <c r="F4" s="14">
        <v>13071</v>
      </c>
      <c r="G4" s="14">
        <v>5514</v>
      </c>
      <c r="H4" s="14">
        <f t="shared" ref="H4:H15" si="0">J4-G4-F4-I4</f>
        <v>933</v>
      </c>
      <c r="I4" s="14">
        <v>152</v>
      </c>
      <c r="J4" s="14">
        <v>19670</v>
      </c>
    </row>
    <row r="5" spans="1:10" x14ac:dyDescent="0.25">
      <c r="A5" s="12" t="s">
        <v>5</v>
      </c>
      <c r="B5" s="12" t="s">
        <v>10</v>
      </c>
      <c r="C5" s="12" t="s">
        <v>231</v>
      </c>
      <c r="D5" s="12">
        <v>35</v>
      </c>
      <c r="E5" s="12">
        <v>2</v>
      </c>
      <c r="F5" s="12">
        <v>12334</v>
      </c>
      <c r="G5" s="12">
        <v>5209</v>
      </c>
      <c r="H5" s="12">
        <f t="shared" si="0"/>
        <v>782</v>
      </c>
      <c r="I5" s="12">
        <v>151</v>
      </c>
      <c r="J5" s="12">
        <v>18476</v>
      </c>
    </row>
    <row r="6" spans="1:10" x14ac:dyDescent="0.25">
      <c r="A6" s="11" t="s">
        <v>5</v>
      </c>
      <c r="B6" s="11" t="s">
        <v>11</v>
      </c>
      <c r="C6" s="11" t="s">
        <v>231</v>
      </c>
      <c r="D6" s="11">
        <v>27</v>
      </c>
      <c r="E6" s="11">
        <v>2</v>
      </c>
      <c r="F6" s="11">
        <v>9853</v>
      </c>
      <c r="G6" s="11">
        <v>3939</v>
      </c>
      <c r="H6" s="11">
        <f t="shared" si="0"/>
        <v>646</v>
      </c>
      <c r="I6" s="11">
        <v>112</v>
      </c>
      <c r="J6" s="11">
        <v>14550</v>
      </c>
    </row>
    <row r="7" spans="1:10" x14ac:dyDescent="0.25">
      <c r="A7" s="12" t="s">
        <v>5</v>
      </c>
      <c r="B7" s="12" t="s">
        <v>12</v>
      </c>
      <c r="C7" s="12" t="s">
        <v>231</v>
      </c>
      <c r="D7" s="12">
        <v>31</v>
      </c>
      <c r="E7" s="12">
        <v>2</v>
      </c>
      <c r="F7" s="12">
        <v>10837</v>
      </c>
      <c r="G7" s="12">
        <v>3907</v>
      </c>
      <c r="H7" s="12">
        <f t="shared" si="0"/>
        <v>685</v>
      </c>
      <c r="I7" s="12">
        <v>152</v>
      </c>
      <c r="J7" s="12">
        <v>15581</v>
      </c>
    </row>
    <row r="8" spans="1:10" x14ac:dyDescent="0.25">
      <c r="A8" s="11" t="s">
        <v>5</v>
      </c>
      <c r="B8" s="11" t="s">
        <v>13</v>
      </c>
      <c r="C8" s="11" t="s">
        <v>231</v>
      </c>
      <c r="D8" s="11">
        <v>27</v>
      </c>
      <c r="E8" s="11">
        <v>2</v>
      </c>
      <c r="F8" s="11">
        <v>9814</v>
      </c>
      <c r="G8" s="11">
        <v>4373</v>
      </c>
      <c r="H8" s="11">
        <f t="shared" si="0"/>
        <v>775</v>
      </c>
      <c r="I8" s="11">
        <v>133</v>
      </c>
      <c r="J8" s="11">
        <v>15095</v>
      </c>
    </row>
    <row r="9" spans="1:10" x14ac:dyDescent="0.25">
      <c r="A9" s="12" t="s">
        <v>5</v>
      </c>
      <c r="B9" s="12" t="s">
        <v>14</v>
      </c>
      <c r="C9" s="12" t="s">
        <v>231</v>
      </c>
      <c r="D9" s="12">
        <v>57</v>
      </c>
      <c r="E9" s="12">
        <v>3</v>
      </c>
      <c r="F9" s="12">
        <v>18971</v>
      </c>
      <c r="G9" s="12">
        <v>7511</v>
      </c>
      <c r="H9" s="12">
        <f t="shared" si="0"/>
        <v>1683</v>
      </c>
      <c r="I9" s="12">
        <v>251</v>
      </c>
      <c r="J9" s="12">
        <v>28416</v>
      </c>
    </row>
    <row r="10" spans="1:10" x14ac:dyDescent="0.25">
      <c r="A10" s="11" t="s">
        <v>5</v>
      </c>
      <c r="B10" s="11" t="s">
        <v>15</v>
      </c>
      <c r="C10" s="11" t="s">
        <v>231</v>
      </c>
      <c r="D10" s="11">
        <v>22</v>
      </c>
      <c r="E10" s="13">
        <v>2</v>
      </c>
      <c r="F10" s="11">
        <v>8127</v>
      </c>
      <c r="G10" s="11">
        <v>3328</v>
      </c>
      <c r="H10" s="11">
        <f t="shared" si="0"/>
        <v>738</v>
      </c>
      <c r="I10" s="11">
        <v>113</v>
      </c>
      <c r="J10" s="11">
        <v>12306</v>
      </c>
    </row>
    <row r="11" spans="1:10" x14ac:dyDescent="0.25">
      <c r="A11" s="12" t="s">
        <v>5</v>
      </c>
      <c r="B11" s="12" t="s">
        <v>16</v>
      </c>
      <c r="C11" s="12" t="s">
        <v>231</v>
      </c>
      <c r="D11" s="12">
        <v>29</v>
      </c>
      <c r="E11" s="12">
        <v>2</v>
      </c>
      <c r="F11" s="12">
        <v>10342</v>
      </c>
      <c r="G11" s="12">
        <v>4164</v>
      </c>
      <c r="H11" s="12">
        <f>J11-G11-F11-I11</f>
        <v>824</v>
      </c>
      <c r="I11" s="12">
        <v>117</v>
      </c>
      <c r="J11" s="12">
        <v>15447</v>
      </c>
    </row>
    <row r="12" spans="1:10" x14ac:dyDescent="0.25">
      <c r="A12" s="11" t="s">
        <v>5</v>
      </c>
      <c r="B12" s="11" t="s">
        <v>17</v>
      </c>
      <c r="C12" s="11" t="s">
        <v>231</v>
      </c>
      <c r="D12" s="11">
        <v>43</v>
      </c>
      <c r="E12" s="11">
        <v>3</v>
      </c>
      <c r="F12" s="11">
        <v>15562</v>
      </c>
      <c r="G12" s="11">
        <v>7141</v>
      </c>
      <c r="H12" s="11">
        <f t="shared" si="0"/>
        <v>1017</v>
      </c>
      <c r="I12" s="11">
        <v>203</v>
      </c>
      <c r="J12" s="11">
        <v>23923</v>
      </c>
    </row>
    <row r="13" spans="1:10" x14ac:dyDescent="0.25">
      <c r="A13" s="12" t="s">
        <v>5</v>
      </c>
      <c r="B13" s="12" t="s">
        <v>18</v>
      </c>
      <c r="C13" s="12" t="s">
        <v>231</v>
      </c>
      <c r="D13" s="12">
        <v>35</v>
      </c>
      <c r="E13" s="12">
        <v>3</v>
      </c>
      <c r="F13" s="12">
        <v>12212</v>
      </c>
      <c r="G13" s="12">
        <v>5099</v>
      </c>
      <c r="H13" s="12">
        <f t="shared" si="0"/>
        <v>1038</v>
      </c>
      <c r="I13" s="12">
        <v>125</v>
      </c>
      <c r="J13" s="12">
        <v>18474</v>
      </c>
    </row>
    <row r="14" spans="1:10" x14ac:dyDescent="0.25">
      <c r="A14" s="11" t="s">
        <v>5</v>
      </c>
      <c r="B14" s="11" t="s">
        <v>19</v>
      </c>
      <c r="C14" s="11" t="s">
        <v>231</v>
      </c>
      <c r="D14" s="11">
        <v>27</v>
      </c>
      <c r="E14" s="11">
        <v>2</v>
      </c>
      <c r="F14" s="11">
        <v>9504</v>
      </c>
      <c r="G14" s="11">
        <v>4232</v>
      </c>
      <c r="H14" s="11">
        <f t="shared" si="0"/>
        <v>767</v>
      </c>
      <c r="I14" s="11">
        <v>144</v>
      </c>
      <c r="J14" s="11">
        <v>14647</v>
      </c>
    </row>
    <row r="15" spans="1:10" x14ac:dyDescent="0.25">
      <c r="A15" s="12" t="s">
        <v>5</v>
      </c>
      <c r="B15" s="12" t="s">
        <v>20</v>
      </c>
      <c r="C15" s="12" t="s">
        <v>231</v>
      </c>
      <c r="D15" s="12">
        <v>43</v>
      </c>
      <c r="E15" s="12">
        <v>3</v>
      </c>
      <c r="F15" s="12">
        <v>13480</v>
      </c>
      <c r="G15" s="12">
        <v>5751</v>
      </c>
      <c r="H15" s="12">
        <f t="shared" si="0"/>
        <v>1302</v>
      </c>
      <c r="I15" s="12">
        <v>188</v>
      </c>
      <c r="J15" s="12">
        <v>20721</v>
      </c>
    </row>
    <row r="16" spans="1:10" x14ac:dyDescent="0.25">
      <c r="A16" s="11" t="s">
        <v>21</v>
      </c>
      <c r="B16" s="11" t="s">
        <v>22</v>
      </c>
      <c r="C16" s="11" t="s">
        <v>231</v>
      </c>
      <c r="D16" s="11">
        <v>36</v>
      </c>
      <c r="E16" s="11">
        <v>4</v>
      </c>
      <c r="F16" s="11">
        <v>16246</v>
      </c>
      <c r="G16" s="11">
        <v>6461</v>
      </c>
      <c r="H16" s="11">
        <f t="shared" ref="H16:H47" si="1">J16-I16-G16-F16</f>
        <v>322</v>
      </c>
      <c r="I16" s="11">
        <v>120</v>
      </c>
      <c r="J16" s="11">
        <v>23149</v>
      </c>
    </row>
    <row r="17" spans="1:10" x14ac:dyDescent="0.25">
      <c r="A17" s="12" t="s">
        <v>21</v>
      </c>
      <c r="B17" s="12" t="s">
        <v>23</v>
      </c>
      <c r="C17" s="12" t="s">
        <v>231</v>
      </c>
      <c r="D17" s="12">
        <v>47</v>
      </c>
      <c r="E17" s="12">
        <v>4</v>
      </c>
      <c r="F17" s="12">
        <v>20127</v>
      </c>
      <c r="G17" s="12">
        <v>8366</v>
      </c>
      <c r="H17" s="12">
        <f t="shared" si="1"/>
        <v>467</v>
      </c>
      <c r="I17" s="12">
        <v>214</v>
      </c>
      <c r="J17" s="12">
        <v>29174</v>
      </c>
    </row>
    <row r="18" spans="1:10" x14ac:dyDescent="0.25">
      <c r="A18" s="11" t="s">
        <v>21</v>
      </c>
      <c r="B18" s="11" t="s">
        <v>24</v>
      </c>
      <c r="C18" s="11" t="s">
        <v>231</v>
      </c>
      <c r="D18" s="11">
        <v>39</v>
      </c>
      <c r="E18" s="11">
        <v>6</v>
      </c>
      <c r="F18" s="11">
        <v>17917</v>
      </c>
      <c r="G18" s="11">
        <v>6978</v>
      </c>
      <c r="H18" s="11">
        <f t="shared" si="1"/>
        <v>460</v>
      </c>
      <c r="I18" s="11">
        <v>162</v>
      </c>
      <c r="J18" s="11">
        <v>25517</v>
      </c>
    </row>
    <row r="19" spans="1:10" x14ac:dyDescent="0.25">
      <c r="A19" s="12" t="s">
        <v>21</v>
      </c>
      <c r="B19" s="12" t="s">
        <v>25</v>
      </c>
      <c r="C19" s="12" t="s">
        <v>231</v>
      </c>
      <c r="D19" s="12">
        <v>39</v>
      </c>
      <c r="E19" s="12">
        <v>5</v>
      </c>
      <c r="F19" s="12">
        <v>15092</v>
      </c>
      <c r="G19" s="12">
        <v>6432</v>
      </c>
      <c r="H19" s="12">
        <f t="shared" si="1"/>
        <v>353</v>
      </c>
      <c r="I19" s="12">
        <v>147</v>
      </c>
      <c r="J19" s="12">
        <v>22024</v>
      </c>
    </row>
    <row r="20" spans="1:10" x14ac:dyDescent="0.25">
      <c r="A20" s="11" t="s">
        <v>21</v>
      </c>
      <c r="B20" s="11" t="s">
        <v>26</v>
      </c>
      <c r="C20" s="11" t="s">
        <v>231</v>
      </c>
      <c r="D20" s="11">
        <v>39</v>
      </c>
      <c r="E20" s="11">
        <v>6</v>
      </c>
      <c r="F20" s="11">
        <v>16614</v>
      </c>
      <c r="G20" s="11">
        <v>5980</v>
      </c>
      <c r="H20" s="11">
        <f t="shared" si="1"/>
        <v>311</v>
      </c>
      <c r="I20" s="11">
        <v>163</v>
      </c>
      <c r="J20" s="11">
        <v>23068</v>
      </c>
    </row>
    <row r="21" spans="1:10" x14ac:dyDescent="0.25">
      <c r="A21" s="12" t="s">
        <v>21</v>
      </c>
      <c r="B21" s="12" t="s">
        <v>27</v>
      </c>
      <c r="C21" s="12" t="s">
        <v>231</v>
      </c>
      <c r="D21" s="12">
        <v>59</v>
      </c>
      <c r="E21" s="12">
        <v>2</v>
      </c>
      <c r="F21" s="12">
        <v>33718</v>
      </c>
      <c r="G21" s="12">
        <v>8859</v>
      </c>
      <c r="H21" s="12">
        <f t="shared" si="1"/>
        <v>529</v>
      </c>
      <c r="I21" s="12">
        <v>329</v>
      </c>
      <c r="J21" s="12">
        <v>43435</v>
      </c>
    </row>
    <row r="22" spans="1:10" x14ac:dyDescent="0.25">
      <c r="A22" s="11" t="s">
        <v>21</v>
      </c>
      <c r="B22" s="11" t="s">
        <v>28</v>
      </c>
      <c r="C22" s="11" t="s">
        <v>231</v>
      </c>
      <c r="D22" s="11">
        <v>44</v>
      </c>
      <c r="E22" s="11">
        <v>2</v>
      </c>
      <c r="F22" s="11">
        <v>19783</v>
      </c>
      <c r="G22" s="11">
        <v>7517</v>
      </c>
      <c r="H22" s="11">
        <f t="shared" si="1"/>
        <v>490</v>
      </c>
      <c r="I22" s="11">
        <v>242</v>
      </c>
      <c r="J22" s="11">
        <v>28032</v>
      </c>
    </row>
    <row r="23" spans="1:10" x14ac:dyDescent="0.25">
      <c r="A23" s="12" t="s">
        <v>21</v>
      </c>
      <c r="B23" s="12" t="s">
        <v>29</v>
      </c>
      <c r="C23" s="12" t="s">
        <v>231</v>
      </c>
      <c r="D23" s="12">
        <v>84</v>
      </c>
      <c r="E23" s="12">
        <v>7</v>
      </c>
      <c r="F23" s="12">
        <v>37989</v>
      </c>
      <c r="G23" s="12">
        <v>18222</v>
      </c>
      <c r="H23" s="12">
        <f t="shared" si="1"/>
        <v>1329</v>
      </c>
      <c r="I23" s="12">
        <v>732</v>
      </c>
      <c r="J23" s="12">
        <v>58272</v>
      </c>
    </row>
    <row r="24" spans="1:10" x14ac:dyDescent="0.25">
      <c r="A24" s="11" t="s">
        <v>21</v>
      </c>
      <c r="B24" s="11" t="s">
        <v>30</v>
      </c>
      <c r="C24" s="11" t="s">
        <v>231</v>
      </c>
      <c r="D24" s="11">
        <v>34</v>
      </c>
      <c r="E24" s="11">
        <v>2</v>
      </c>
      <c r="F24" s="11">
        <v>16514</v>
      </c>
      <c r="G24" s="11">
        <v>4031</v>
      </c>
      <c r="H24" s="11">
        <f t="shared" si="1"/>
        <v>248</v>
      </c>
      <c r="I24" s="11">
        <v>149</v>
      </c>
      <c r="J24" s="11">
        <v>20942</v>
      </c>
    </row>
    <row r="25" spans="1:10" x14ac:dyDescent="0.25">
      <c r="A25" s="12" t="s">
        <v>21</v>
      </c>
      <c r="B25" s="12" t="s">
        <v>31</v>
      </c>
      <c r="C25" s="12" t="s">
        <v>231</v>
      </c>
      <c r="D25" s="12">
        <v>27</v>
      </c>
      <c r="E25" s="12">
        <v>2</v>
      </c>
      <c r="F25" s="12">
        <v>13664</v>
      </c>
      <c r="G25" s="12">
        <v>3608</v>
      </c>
      <c r="H25" s="12">
        <f t="shared" si="1"/>
        <v>278</v>
      </c>
      <c r="I25" s="12">
        <v>108</v>
      </c>
      <c r="J25" s="12">
        <v>17658</v>
      </c>
    </row>
    <row r="26" spans="1:10" x14ac:dyDescent="0.25">
      <c r="A26" s="11" t="s">
        <v>21</v>
      </c>
      <c r="B26" s="11" t="s">
        <v>32</v>
      </c>
      <c r="C26" s="11" t="s">
        <v>231</v>
      </c>
      <c r="D26" s="11">
        <v>24</v>
      </c>
      <c r="E26" s="11">
        <v>1</v>
      </c>
      <c r="F26" s="11">
        <v>12462</v>
      </c>
      <c r="G26" s="11">
        <v>2993</v>
      </c>
      <c r="H26" s="11">
        <f t="shared" si="1"/>
        <v>229</v>
      </c>
      <c r="I26" s="11">
        <v>90</v>
      </c>
      <c r="J26" s="11">
        <v>15774</v>
      </c>
    </row>
    <row r="27" spans="1:10" x14ac:dyDescent="0.25">
      <c r="A27" s="12" t="s">
        <v>21</v>
      </c>
      <c r="B27" s="12" t="s">
        <v>33</v>
      </c>
      <c r="C27" s="12" t="s">
        <v>231</v>
      </c>
      <c r="D27" s="12">
        <v>33</v>
      </c>
      <c r="E27" s="12">
        <v>2</v>
      </c>
      <c r="F27" s="12">
        <v>13216</v>
      </c>
      <c r="G27" s="12">
        <v>6058</v>
      </c>
      <c r="H27" s="12">
        <f t="shared" si="1"/>
        <v>329</v>
      </c>
      <c r="I27" s="12">
        <v>97</v>
      </c>
      <c r="J27" s="12">
        <v>19700</v>
      </c>
    </row>
    <row r="28" spans="1:10" x14ac:dyDescent="0.25">
      <c r="A28" s="11" t="s">
        <v>21</v>
      </c>
      <c r="B28" s="11" t="s">
        <v>34</v>
      </c>
      <c r="C28" s="11" t="s">
        <v>231</v>
      </c>
      <c r="D28" s="11">
        <v>49</v>
      </c>
      <c r="E28" s="11">
        <v>3</v>
      </c>
      <c r="F28" s="11">
        <v>22786</v>
      </c>
      <c r="G28" s="11">
        <v>9146</v>
      </c>
      <c r="H28" s="11">
        <f t="shared" si="1"/>
        <v>625</v>
      </c>
      <c r="I28" s="11">
        <v>263</v>
      </c>
      <c r="J28" s="11">
        <v>32820</v>
      </c>
    </row>
    <row r="29" spans="1:10" x14ac:dyDescent="0.25">
      <c r="A29" s="12" t="s">
        <v>21</v>
      </c>
      <c r="B29" s="12" t="s">
        <v>35</v>
      </c>
      <c r="C29" s="12" t="s">
        <v>231</v>
      </c>
      <c r="D29" s="12">
        <v>43</v>
      </c>
      <c r="E29" s="12">
        <v>2</v>
      </c>
      <c r="F29" s="12">
        <v>21214</v>
      </c>
      <c r="G29" s="12">
        <v>8938</v>
      </c>
      <c r="H29" s="12">
        <f t="shared" si="1"/>
        <v>621</v>
      </c>
      <c r="I29" s="12">
        <v>306</v>
      </c>
      <c r="J29" s="12">
        <v>31079</v>
      </c>
    </row>
    <row r="30" spans="1:10" x14ac:dyDescent="0.25">
      <c r="A30" s="11" t="s">
        <v>21</v>
      </c>
      <c r="B30" s="11" t="s">
        <v>36</v>
      </c>
      <c r="C30" s="11" t="s">
        <v>231</v>
      </c>
      <c r="D30" s="11">
        <v>88</v>
      </c>
      <c r="E30" s="11">
        <v>1</v>
      </c>
      <c r="F30" s="11">
        <v>40097</v>
      </c>
      <c r="G30" s="11">
        <v>22747</v>
      </c>
      <c r="H30" s="11">
        <f t="shared" si="1"/>
        <v>1134</v>
      </c>
      <c r="I30" s="11">
        <v>629</v>
      </c>
      <c r="J30" s="11">
        <v>64607</v>
      </c>
    </row>
    <row r="31" spans="1:10" x14ac:dyDescent="0.25">
      <c r="A31" s="12" t="s">
        <v>21</v>
      </c>
      <c r="B31" s="12" t="s">
        <v>37</v>
      </c>
      <c r="C31" s="12" t="s">
        <v>231</v>
      </c>
      <c r="D31" s="12">
        <v>45</v>
      </c>
      <c r="E31" s="12">
        <v>2</v>
      </c>
      <c r="F31" s="12">
        <v>23328</v>
      </c>
      <c r="G31" s="12">
        <v>7726</v>
      </c>
      <c r="H31" s="12">
        <f t="shared" si="1"/>
        <v>515</v>
      </c>
      <c r="I31" s="12">
        <v>170</v>
      </c>
      <c r="J31" s="12">
        <v>31739</v>
      </c>
    </row>
    <row r="32" spans="1:10" x14ac:dyDescent="0.25">
      <c r="A32" s="11" t="s">
        <v>21</v>
      </c>
      <c r="B32" s="11" t="s">
        <v>38</v>
      </c>
      <c r="C32" s="11" t="s">
        <v>231</v>
      </c>
      <c r="D32" s="11">
        <v>44</v>
      </c>
      <c r="E32" s="11">
        <v>2</v>
      </c>
      <c r="F32" s="11">
        <v>23026</v>
      </c>
      <c r="G32" s="11">
        <v>7296</v>
      </c>
      <c r="H32" s="11">
        <f t="shared" si="1"/>
        <v>399</v>
      </c>
      <c r="I32" s="11">
        <v>152</v>
      </c>
      <c r="J32" s="11">
        <v>30873</v>
      </c>
    </row>
    <row r="33" spans="1:10" x14ac:dyDescent="0.25">
      <c r="A33" s="12" t="s">
        <v>21</v>
      </c>
      <c r="B33" s="12" t="s">
        <v>39</v>
      </c>
      <c r="C33" s="12" t="s">
        <v>231</v>
      </c>
      <c r="D33" s="12">
        <v>41</v>
      </c>
      <c r="E33" s="12">
        <v>2</v>
      </c>
      <c r="F33" s="12">
        <v>16374</v>
      </c>
      <c r="G33" s="12">
        <v>4106</v>
      </c>
      <c r="H33" s="12">
        <f t="shared" si="1"/>
        <v>296</v>
      </c>
      <c r="I33" s="12">
        <v>118</v>
      </c>
      <c r="J33" s="12">
        <v>20894</v>
      </c>
    </row>
    <row r="34" spans="1:10" x14ac:dyDescent="0.25">
      <c r="A34" s="11" t="s">
        <v>21</v>
      </c>
      <c r="B34" s="11" t="s">
        <v>40</v>
      </c>
      <c r="C34" s="11" t="s">
        <v>231</v>
      </c>
      <c r="D34" s="11">
        <v>24</v>
      </c>
      <c r="E34" s="11">
        <v>2</v>
      </c>
      <c r="F34" s="11">
        <v>12770</v>
      </c>
      <c r="G34" s="11">
        <v>3576</v>
      </c>
      <c r="H34" s="11">
        <f t="shared" si="1"/>
        <v>209</v>
      </c>
      <c r="I34" s="11">
        <v>92</v>
      </c>
      <c r="J34" s="11">
        <v>16647</v>
      </c>
    </row>
    <row r="35" spans="1:10" x14ac:dyDescent="0.25">
      <c r="A35" s="12" t="s">
        <v>21</v>
      </c>
      <c r="B35" s="12" t="s">
        <v>41</v>
      </c>
      <c r="C35" s="12" t="s">
        <v>231</v>
      </c>
      <c r="D35" s="12">
        <v>29</v>
      </c>
      <c r="E35" s="12">
        <v>2</v>
      </c>
      <c r="F35" s="12">
        <v>13443</v>
      </c>
      <c r="G35" s="12">
        <v>4557</v>
      </c>
      <c r="H35" s="12">
        <f t="shared" si="1"/>
        <v>291</v>
      </c>
      <c r="I35" s="12">
        <v>123</v>
      </c>
      <c r="J35" s="12">
        <v>18414</v>
      </c>
    </row>
    <row r="36" spans="1:10" x14ac:dyDescent="0.25">
      <c r="A36" s="11" t="s">
        <v>21</v>
      </c>
      <c r="B36" s="11" t="s">
        <v>42</v>
      </c>
      <c r="C36" s="11" t="s">
        <v>231</v>
      </c>
      <c r="D36" s="11">
        <v>41</v>
      </c>
      <c r="E36" s="11">
        <v>3</v>
      </c>
      <c r="F36" s="11">
        <v>24399</v>
      </c>
      <c r="G36" s="11">
        <v>7479</v>
      </c>
      <c r="H36" s="11">
        <f t="shared" si="1"/>
        <v>439</v>
      </c>
      <c r="I36" s="11">
        <v>214</v>
      </c>
      <c r="J36" s="11">
        <v>32531</v>
      </c>
    </row>
    <row r="37" spans="1:10" x14ac:dyDescent="0.25">
      <c r="A37" s="12" t="s">
        <v>21</v>
      </c>
      <c r="B37" s="12" t="s">
        <v>43</v>
      </c>
      <c r="C37" s="12" t="s">
        <v>231</v>
      </c>
      <c r="D37" s="12">
        <v>29</v>
      </c>
      <c r="E37" s="12">
        <v>1</v>
      </c>
      <c r="F37" s="12">
        <v>16773</v>
      </c>
      <c r="G37" s="12">
        <v>4109</v>
      </c>
      <c r="H37" s="12">
        <f t="shared" si="1"/>
        <v>293</v>
      </c>
      <c r="I37" s="12">
        <v>116</v>
      </c>
      <c r="J37" s="12">
        <v>21291</v>
      </c>
    </row>
    <row r="38" spans="1:10" x14ac:dyDescent="0.25">
      <c r="A38" s="11" t="s">
        <v>21</v>
      </c>
      <c r="B38" s="11" t="s">
        <v>44</v>
      </c>
      <c r="C38" s="11" t="s">
        <v>231</v>
      </c>
      <c r="D38" s="11">
        <v>40</v>
      </c>
      <c r="E38" s="11">
        <v>3</v>
      </c>
      <c r="F38" s="11">
        <v>18936</v>
      </c>
      <c r="G38" s="11">
        <v>5886</v>
      </c>
      <c r="H38" s="11">
        <f t="shared" si="1"/>
        <v>363</v>
      </c>
      <c r="I38" s="11">
        <v>198</v>
      </c>
      <c r="J38" s="11">
        <v>25383</v>
      </c>
    </row>
    <row r="39" spans="1:10" x14ac:dyDescent="0.25">
      <c r="A39" s="12" t="s">
        <v>21</v>
      </c>
      <c r="B39" s="12" t="s">
        <v>45</v>
      </c>
      <c r="C39" s="12" t="s">
        <v>231</v>
      </c>
      <c r="D39" s="12">
        <v>37</v>
      </c>
      <c r="E39" s="12">
        <v>2</v>
      </c>
      <c r="F39" s="12">
        <v>13455</v>
      </c>
      <c r="G39" s="12">
        <v>10005</v>
      </c>
      <c r="H39" s="12">
        <f t="shared" si="1"/>
        <v>394</v>
      </c>
      <c r="I39" s="12">
        <v>263</v>
      </c>
      <c r="J39" s="12">
        <v>24117</v>
      </c>
    </row>
    <row r="40" spans="1:10" x14ac:dyDescent="0.25">
      <c r="A40" s="11" t="s">
        <v>21</v>
      </c>
      <c r="B40" s="11" t="s">
        <v>46</v>
      </c>
      <c r="C40" s="11" t="s">
        <v>231</v>
      </c>
      <c r="D40" s="11">
        <v>35</v>
      </c>
      <c r="E40" s="11">
        <v>2</v>
      </c>
      <c r="F40" s="11">
        <v>12989</v>
      </c>
      <c r="G40" s="11">
        <v>6494</v>
      </c>
      <c r="H40" s="11">
        <f t="shared" si="1"/>
        <v>408</v>
      </c>
      <c r="I40" s="11">
        <v>174</v>
      </c>
      <c r="J40" s="11">
        <v>20065</v>
      </c>
    </row>
    <row r="41" spans="1:10" x14ac:dyDescent="0.25">
      <c r="A41" s="12" t="s">
        <v>21</v>
      </c>
      <c r="B41" s="12" t="s">
        <v>47</v>
      </c>
      <c r="C41" s="12" t="s">
        <v>231</v>
      </c>
      <c r="D41" s="12">
        <v>26</v>
      </c>
      <c r="E41" s="12">
        <v>2</v>
      </c>
      <c r="F41" s="12">
        <v>12105</v>
      </c>
      <c r="G41" s="12">
        <v>3279</v>
      </c>
      <c r="H41" s="12">
        <f t="shared" si="1"/>
        <v>243</v>
      </c>
      <c r="I41" s="12">
        <v>124</v>
      </c>
      <c r="J41" s="12">
        <v>15751</v>
      </c>
    </row>
    <row r="42" spans="1:10" x14ac:dyDescent="0.25">
      <c r="A42" s="11" t="s">
        <v>21</v>
      </c>
      <c r="B42" s="11" t="s">
        <v>48</v>
      </c>
      <c r="C42" s="11" t="s">
        <v>231</v>
      </c>
      <c r="D42" s="11">
        <v>26</v>
      </c>
      <c r="E42" s="11">
        <v>2</v>
      </c>
      <c r="F42" s="11">
        <v>11179</v>
      </c>
      <c r="G42" s="11">
        <v>3568</v>
      </c>
      <c r="H42" s="11">
        <f t="shared" si="1"/>
        <v>209</v>
      </c>
      <c r="I42" s="11">
        <v>89</v>
      </c>
      <c r="J42" s="11">
        <v>15045</v>
      </c>
    </row>
    <row r="43" spans="1:10" x14ac:dyDescent="0.25">
      <c r="A43" s="12" t="s">
        <v>21</v>
      </c>
      <c r="B43" s="12" t="s">
        <v>49</v>
      </c>
      <c r="C43" s="12" t="s">
        <v>231</v>
      </c>
      <c r="D43" s="12">
        <v>26</v>
      </c>
      <c r="E43" s="12">
        <v>2</v>
      </c>
      <c r="F43" s="12">
        <v>12213</v>
      </c>
      <c r="G43" s="12">
        <v>3827</v>
      </c>
      <c r="H43" s="12">
        <f t="shared" si="1"/>
        <v>200</v>
      </c>
      <c r="I43" s="12">
        <v>104</v>
      </c>
      <c r="J43" s="12">
        <v>16344</v>
      </c>
    </row>
    <row r="44" spans="1:10" x14ac:dyDescent="0.25">
      <c r="A44" s="11" t="s">
        <v>21</v>
      </c>
      <c r="B44" s="11" t="s">
        <v>50</v>
      </c>
      <c r="C44" s="11" t="s">
        <v>231</v>
      </c>
      <c r="D44" s="11">
        <v>44</v>
      </c>
      <c r="E44" s="11">
        <v>2</v>
      </c>
      <c r="F44" s="11">
        <v>20466</v>
      </c>
      <c r="G44" s="11">
        <v>6475</v>
      </c>
      <c r="H44" s="11">
        <f t="shared" si="1"/>
        <v>385</v>
      </c>
      <c r="I44" s="11">
        <v>128</v>
      </c>
      <c r="J44" s="11">
        <v>27454</v>
      </c>
    </row>
    <row r="45" spans="1:10" x14ac:dyDescent="0.25">
      <c r="A45" s="12" t="s">
        <v>51</v>
      </c>
      <c r="B45" s="12" t="s">
        <v>72</v>
      </c>
      <c r="C45" s="12" t="s">
        <v>229</v>
      </c>
      <c r="D45" s="12">
        <v>60</v>
      </c>
      <c r="E45" s="12">
        <v>9</v>
      </c>
      <c r="F45" s="12">
        <v>8288</v>
      </c>
      <c r="G45" s="12">
        <v>13015</v>
      </c>
      <c r="H45" s="12">
        <f t="shared" si="1"/>
        <v>1174</v>
      </c>
      <c r="I45" s="12">
        <v>629</v>
      </c>
      <c r="J45" s="12">
        <v>23106</v>
      </c>
    </row>
    <row r="46" spans="1:10" x14ac:dyDescent="0.25">
      <c r="A46" s="11" t="s">
        <v>51</v>
      </c>
      <c r="B46" s="11" t="s">
        <v>52</v>
      </c>
      <c r="C46" s="11" t="s">
        <v>229</v>
      </c>
      <c r="D46" s="11">
        <v>48</v>
      </c>
      <c r="E46" s="11">
        <v>8</v>
      </c>
      <c r="F46" s="11">
        <v>6361</v>
      </c>
      <c r="G46" s="11">
        <v>10379</v>
      </c>
      <c r="H46" s="11">
        <f t="shared" si="1"/>
        <v>488</v>
      </c>
      <c r="I46" s="11">
        <v>197</v>
      </c>
      <c r="J46" s="11">
        <v>17425</v>
      </c>
    </row>
    <row r="47" spans="1:10" x14ac:dyDescent="0.25">
      <c r="A47" s="12" t="s">
        <v>51</v>
      </c>
      <c r="B47" s="12" t="s">
        <v>53</v>
      </c>
      <c r="C47" s="12" t="s">
        <v>229</v>
      </c>
      <c r="D47" s="12">
        <v>53</v>
      </c>
      <c r="E47" s="12">
        <v>8</v>
      </c>
      <c r="F47" s="12">
        <v>10228</v>
      </c>
      <c r="G47" s="12">
        <v>12415</v>
      </c>
      <c r="H47" s="12">
        <f t="shared" si="1"/>
        <v>903</v>
      </c>
      <c r="I47" s="12">
        <v>389</v>
      </c>
      <c r="J47" s="12">
        <v>23935</v>
      </c>
    </row>
    <row r="48" spans="1:10" x14ac:dyDescent="0.25">
      <c r="A48" s="11" t="s">
        <v>51</v>
      </c>
      <c r="B48" s="11" t="s">
        <v>54</v>
      </c>
      <c r="C48" s="11" t="s">
        <v>229</v>
      </c>
      <c r="D48" s="11">
        <v>49</v>
      </c>
      <c r="E48" s="11">
        <v>8</v>
      </c>
      <c r="F48" s="11">
        <v>10740</v>
      </c>
      <c r="G48" s="11">
        <v>10476</v>
      </c>
      <c r="H48" s="11">
        <f t="shared" ref="H48:H79" si="2">J48-I48-G48-F48</f>
        <v>782</v>
      </c>
      <c r="I48" s="11">
        <v>300</v>
      </c>
      <c r="J48" s="11">
        <v>22298</v>
      </c>
    </row>
    <row r="49" spans="1:10" x14ac:dyDescent="0.25">
      <c r="A49" s="12" t="s">
        <v>51</v>
      </c>
      <c r="B49" s="12" t="s">
        <v>74</v>
      </c>
      <c r="C49" s="12" t="s">
        <v>229</v>
      </c>
      <c r="D49" s="12">
        <v>54</v>
      </c>
      <c r="E49" s="12">
        <v>11</v>
      </c>
      <c r="F49" s="12">
        <v>9260</v>
      </c>
      <c r="G49" s="12">
        <v>10621</v>
      </c>
      <c r="H49" s="12">
        <f t="shared" si="2"/>
        <v>579</v>
      </c>
      <c r="I49" s="12">
        <v>209</v>
      </c>
      <c r="J49" s="12">
        <v>20669</v>
      </c>
    </row>
    <row r="50" spans="1:10" x14ac:dyDescent="0.25">
      <c r="A50" s="11" t="s">
        <v>51</v>
      </c>
      <c r="B50" s="11" t="s">
        <v>75</v>
      </c>
      <c r="C50" s="11" t="s">
        <v>229</v>
      </c>
      <c r="D50" s="11">
        <v>73</v>
      </c>
      <c r="E50" s="11">
        <v>12</v>
      </c>
      <c r="F50" s="11">
        <v>8025</v>
      </c>
      <c r="G50" s="11">
        <v>16155</v>
      </c>
      <c r="H50" s="11">
        <f t="shared" si="2"/>
        <v>935</v>
      </c>
      <c r="I50" s="11">
        <v>427</v>
      </c>
      <c r="J50" s="11">
        <v>25542</v>
      </c>
    </row>
    <row r="51" spans="1:10" x14ac:dyDescent="0.25">
      <c r="A51" s="12" t="s">
        <v>51</v>
      </c>
      <c r="B51" s="12" t="s">
        <v>232</v>
      </c>
      <c r="C51" s="12" t="s">
        <v>230</v>
      </c>
      <c r="D51" s="12">
        <v>52</v>
      </c>
      <c r="E51" s="12">
        <v>14</v>
      </c>
      <c r="F51" s="12">
        <v>9806</v>
      </c>
      <c r="G51" s="12">
        <v>14814</v>
      </c>
      <c r="H51" s="12">
        <f t="shared" si="2"/>
        <v>642</v>
      </c>
      <c r="I51" s="12">
        <v>399</v>
      </c>
      <c r="J51" s="12">
        <v>25661</v>
      </c>
    </row>
    <row r="52" spans="1:10" x14ac:dyDescent="0.25">
      <c r="A52" s="11" t="s">
        <v>51</v>
      </c>
      <c r="B52" s="11" t="s">
        <v>73</v>
      </c>
      <c r="C52" s="11" t="s">
        <v>229</v>
      </c>
      <c r="D52" s="11">
        <v>44</v>
      </c>
      <c r="E52" s="11">
        <v>7</v>
      </c>
      <c r="F52" s="11">
        <v>8367</v>
      </c>
      <c r="G52" s="11">
        <v>8542</v>
      </c>
      <c r="H52" s="11">
        <f t="shared" si="2"/>
        <v>1238</v>
      </c>
      <c r="I52" s="11">
        <v>491</v>
      </c>
      <c r="J52" s="11">
        <v>18638</v>
      </c>
    </row>
    <row r="53" spans="1:10" x14ac:dyDescent="0.25">
      <c r="A53" s="12" t="s">
        <v>51</v>
      </c>
      <c r="B53" s="12" t="s">
        <v>55</v>
      </c>
      <c r="C53" s="12" t="s">
        <v>229</v>
      </c>
      <c r="D53" s="12">
        <v>40</v>
      </c>
      <c r="E53" s="12">
        <v>6</v>
      </c>
      <c r="F53" s="12">
        <v>9446</v>
      </c>
      <c r="G53" s="12">
        <v>10187</v>
      </c>
      <c r="H53" s="12">
        <f t="shared" si="2"/>
        <v>1311</v>
      </c>
      <c r="I53" s="12">
        <v>537</v>
      </c>
      <c r="J53" s="12">
        <v>21481</v>
      </c>
    </row>
    <row r="54" spans="1:10" x14ac:dyDescent="0.25">
      <c r="A54" s="11" t="s">
        <v>51</v>
      </c>
      <c r="B54" s="11" t="s">
        <v>56</v>
      </c>
      <c r="C54" s="11" t="s">
        <v>229</v>
      </c>
      <c r="D54" s="11">
        <v>42</v>
      </c>
      <c r="E54" s="11">
        <v>6</v>
      </c>
      <c r="F54" s="11">
        <v>8663</v>
      </c>
      <c r="G54" s="11">
        <v>6692</v>
      </c>
      <c r="H54" s="11">
        <f t="shared" si="2"/>
        <v>648</v>
      </c>
      <c r="I54" s="11">
        <v>289</v>
      </c>
      <c r="J54" s="11">
        <v>16292</v>
      </c>
    </row>
    <row r="55" spans="1:10" x14ac:dyDescent="0.25">
      <c r="A55" s="12" t="s">
        <v>51</v>
      </c>
      <c r="B55" s="12" t="s">
        <v>57</v>
      </c>
      <c r="C55" s="12" t="s">
        <v>229</v>
      </c>
      <c r="D55" s="12">
        <v>34</v>
      </c>
      <c r="E55" s="12">
        <v>5</v>
      </c>
      <c r="F55" s="12">
        <v>8544</v>
      </c>
      <c r="G55" s="12">
        <v>6121</v>
      </c>
      <c r="H55" s="12">
        <f t="shared" si="2"/>
        <v>1051</v>
      </c>
      <c r="I55" s="12">
        <v>523</v>
      </c>
      <c r="J55" s="12">
        <v>16239</v>
      </c>
    </row>
    <row r="56" spans="1:10" x14ac:dyDescent="0.25">
      <c r="A56" s="11" t="s">
        <v>51</v>
      </c>
      <c r="B56" s="11" t="s">
        <v>76</v>
      </c>
      <c r="C56" s="11" t="s">
        <v>229</v>
      </c>
      <c r="D56" s="11">
        <v>56</v>
      </c>
      <c r="E56" s="11">
        <v>8</v>
      </c>
      <c r="F56" s="11">
        <v>8502</v>
      </c>
      <c r="G56" s="11">
        <v>14284</v>
      </c>
      <c r="H56" s="11">
        <f t="shared" si="2"/>
        <v>790</v>
      </c>
      <c r="I56" s="11">
        <v>325</v>
      </c>
      <c r="J56" s="11">
        <v>23901</v>
      </c>
    </row>
    <row r="57" spans="1:10" x14ac:dyDescent="0.25">
      <c r="A57" s="12" t="s">
        <v>51</v>
      </c>
      <c r="B57" s="12" t="s">
        <v>58</v>
      </c>
      <c r="C57" s="12" t="s">
        <v>230</v>
      </c>
      <c r="D57" s="12">
        <v>59</v>
      </c>
      <c r="E57" s="12">
        <v>16</v>
      </c>
      <c r="F57" s="12">
        <v>13455</v>
      </c>
      <c r="G57" s="12">
        <v>8307</v>
      </c>
      <c r="H57" s="12">
        <f t="shared" si="2"/>
        <v>540</v>
      </c>
      <c r="I57" s="12">
        <v>274</v>
      </c>
      <c r="J57" s="12">
        <v>22576</v>
      </c>
    </row>
    <row r="58" spans="1:10" x14ac:dyDescent="0.25">
      <c r="A58" s="11" t="s">
        <v>51</v>
      </c>
      <c r="B58" s="11" t="s">
        <v>59</v>
      </c>
      <c r="C58" s="11" t="s">
        <v>229</v>
      </c>
      <c r="D58" s="11">
        <v>50</v>
      </c>
      <c r="E58" s="11">
        <v>8</v>
      </c>
      <c r="F58" s="11">
        <v>6216</v>
      </c>
      <c r="G58" s="11">
        <v>11705</v>
      </c>
      <c r="H58" s="11">
        <f t="shared" si="2"/>
        <v>717</v>
      </c>
      <c r="I58" s="11">
        <v>287</v>
      </c>
      <c r="J58" s="11">
        <v>18925</v>
      </c>
    </row>
    <row r="59" spans="1:10" x14ac:dyDescent="0.25">
      <c r="A59" s="12" t="s">
        <v>51</v>
      </c>
      <c r="B59" s="12" t="s">
        <v>60</v>
      </c>
      <c r="C59" s="12" t="s">
        <v>229</v>
      </c>
      <c r="D59" s="12">
        <v>53</v>
      </c>
      <c r="E59" s="12">
        <v>10</v>
      </c>
      <c r="F59" s="12">
        <v>10043</v>
      </c>
      <c r="G59" s="12">
        <v>10711</v>
      </c>
      <c r="H59" s="12">
        <f t="shared" si="2"/>
        <v>796</v>
      </c>
      <c r="I59" s="12">
        <v>307</v>
      </c>
      <c r="J59" s="12">
        <v>21857</v>
      </c>
    </row>
    <row r="60" spans="1:10" x14ac:dyDescent="0.25">
      <c r="A60" s="11" t="s">
        <v>51</v>
      </c>
      <c r="B60" s="11" t="s">
        <v>61</v>
      </c>
      <c r="C60" s="11" t="s">
        <v>229</v>
      </c>
      <c r="D60" s="11">
        <v>37</v>
      </c>
      <c r="E60" s="11">
        <v>6</v>
      </c>
      <c r="F60" s="11">
        <v>7548</v>
      </c>
      <c r="G60" s="11">
        <v>7321</v>
      </c>
      <c r="H60" s="11">
        <f t="shared" si="2"/>
        <v>628</v>
      </c>
      <c r="I60" s="11">
        <v>218</v>
      </c>
      <c r="J60" s="11">
        <v>15715</v>
      </c>
    </row>
    <row r="61" spans="1:10" x14ac:dyDescent="0.25">
      <c r="A61" s="12" t="s">
        <v>51</v>
      </c>
      <c r="B61" s="12" t="s">
        <v>62</v>
      </c>
      <c r="C61" s="12" t="s">
        <v>231</v>
      </c>
      <c r="D61" s="12">
        <v>85</v>
      </c>
      <c r="E61" s="12">
        <v>10</v>
      </c>
      <c r="F61" s="12">
        <v>37370</v>
      </c>
      <c r="G61" s="12">
        <v>11750</v>
      </c>
      <c r="H61" s="12">
        <f t="shared" si="2"/>
        <v>637</v>
      </c>
      <c r="I61" s="12">
        <v>320</v>
      </c>
      <c r="J61" s="12">
        <v>50077</v>
      </c>
    </row>
    <row r="62" spans="1:10" x14ac:dyDescent="0.25">
      <c r="A62" s="11" t="s">
        <v>51</v>
      </c>
      <c r="B62" s="11" t="s">
        <v>63</v>
      </c>
      <c r="C62" s="11" t="s">
        <v>231</v>
      </c>
      <c r="D62" s="11">
        <v>35</v>
      </c>
      <c r="E62" s="11">
        <v>6</v>
      </c>
      <c r="F62" s="11">
        <v>13988</v>
      </c>
      <c r="G62" s="11">
        <v>4370</v>
      </c>
      <c r="H62" s="11">
        <f t="shared" si="2"/>
        <v>269</v>
      </c>
      <c r="I62" s="11">
        <v>230</v>
      </c>
      <c r="J62" s="11">
        <v>18857</v>
      </c>
    </row>
    <row r="63" spans="1:10" x14ac:dyDescent="0.25">
      <c r="A63" s="12" t="s">
        <v>51</v>
      </c>
      <c r="B63" s="12" t="s">
        <v>65</v>
      </c>
      <c r="C63" s="12" t="s">
        <v>229</v>
      </c>
      <c r="D63" s="12">
        <v>70</v>
      </c>
      <c r="E63" s="12">
        <v>12</v>
      </c>
      <c r="F63" s="12">
        <v>12014</v>
      </c>
      <c r="G63" s="12">
        <v>18999</v>
      </c>
      <c r="H63" s="12">
        <f t="shared" si="2"/>
        <v>1329</v>
      </c>
      <c r="I63" s="12">
        <v>538</v>
      </c>
      <c r="J63" s="12">
        <v>32880</v>
      </c>
    </row>
    <row r="64" spans="1:10" x14ac:dyDescent="0.25">
      <c r="A64" s="11" t="s">
        <v>51</v>
      </c>
      <c r="B64" s="11" t="s">
        <v>64</v>
      </c>
      <c r="C64" s="11" t="s">
        <v>229</v>
      </c>
      <c r="D64" s="11">
        <v>71</v>
      </c>
      <c r="E64" s="11">
        <v>13</v>
      </c>
      <c r="F64" s="11">
        <v>13304</v>
      </c>
      <c r="G64" s="11">
        <v>14571</v>
      </c>
      <c r="H64" s="11">
        <f t="shared" si="2"/>
        <v>1227</v>
      </c>
      <c r="I64" s="11">
        <v>552</v>
      </c>
      <c r="J64" s="11">
        <v>29654</v>
      </c>
    </row>
    <row r="65" spans="1:10" x14ac:dyDescent="0.25">
      <c r="A65" s="12" t="s">
        <v>51</v>
      </c>
      <c r="B65" s="12" t="s">
        <v>66</v>
      </c>
      <c r="C65" s="12" t="s">
        <v>229</v>
      </c>
      <c r="D65" s="12">
        <v>57</v>
      </c>
      <c r="E65" s="12">
        <v>11</v>
      </c>
      <c r="F65" s="12">
        <v>10082</v>
      </c>
      <c r="G65" s="12">
        <v>17319</v>
      </c>
      <c r="H65" s="12">
        <f t="shared" si="2"/>
        <v>1426</v>
      </c>
      <c r="I65" s="12">
        <v>574</v>
      </c>
      <c r="J65" s="12">
        <v>29401</v>
      </c>
    </row>
    <row r="66" spans="1:10" x14ac:dyDescent="0.25">
      <c r="A66" s="11" t="s">
        <v>51</v>
      </c>
      <c r="B66" s="11" t="s">
        <v>67</v>
      </c>
      <c r="C66" s="11" t="s">
        <v>229</v>
      </c>
      <c r="D66" s="11">
        <v>66</v>
      </c>
      <c r="E66" s="11">
        <v>12</v>
      </c>
      <c r="F66" s="11">
        <v>13736</v>
      </c>
      <c r="G66" s="11">
        <v>8499</v>
      </c>
      <c r="H66" s="11">
        <f t="shared" si="2"/>
        <v>735</v>
      </c>
      <c r="I66" s="11">
        <v>275</v>
      </c>
      <c r="J66" s="11">
        <v>23245</v>
      </c>
    </row>
    <row r="67" spans="1:10" x14ac:dyDescent="0.25">
      <c r="A67" s="12" t="s">
        <v>51</v>
      </c>
      <c r="B67" s="12" t="s">
        <v>68</v>
      </c>
      <c r="C67" s="12" t="s">
        <v>229</v>
      </c>
      <c r="D67" s="12">
        <v>57</v>
      </c>
      <c r="E67" s="12">
        <v>13</v>
      </c>
      <c r="F67" s="12">
        <v>12921</v>
      </c>
      <c r="G67" s="12">
        <v>11541</v>
      </c>
      <c r="H67" s="12">
        <f t="shared" si="2"/>
        <v>974</v>
      </c>
      <c r="I67" s="12">
        <v>469</v>
      </c>
      <c r="J67" s="12">
        <v>25905</v>
      </c>
    </row>
    <row r="68" spans="1:10" x14ac:dyDescent="0.25">
      <c r="A68" s="11" t="s">
        <v>51</v>
      </c>
      <c r="B68" s="11" t="s">
        <v>69</v>
      </c>
      <c r="C68" s="11" t="s">
        <v>230</v>
      </c>
      <c r="D68" s="11">
        <v>57</v>
      </c>
      <c r="E68" s="11">
        <v>9</v>
      </c>
      <c r="F68" s="11">
        <v>17615</v>
      </c>
      <c r="G68" s="11">
        <v>10257</v>
      </c>
      <c r="H68" s="11">
        <f t="shared" si="2"/>
        <v>472</v>
      </c>
      <c r="I68" s="11">
        <v>296</v>
      </c>
      <c r="J68" s="11">
        <v>28640</v>
      </c>
    </row>
    <row r="69" spans="1:10" x14ac:dyDescent="0.25">
      <c r="A69" s="12" t="s">
        <v>51</v>
      </c>
      <c r="B69" s="12" t="s">
        <v>70</v>
      </c>
      <c r="C69" s="12" t="s">
        <v>229</v>
      </c>
      <c r="D69" s="12">
        <v>65</v>
      </c>
      <c r="E69" s="12">
        <v>13</v>
      </c>
      <c r="F69" s="12">
        <v>9028</v>
      </c>
      <c r="G69" s="12">
        <v>13589</v>
      </c>
      <c r="H69" s="12">
        <f t="shared" si="2"/>
        <v>899</v>
      </c>
      <c r="I69" s="12">
        <v>444</v>
      </c>
      <c r="J69" s="12">
        <v>23960</v>
      </c>
    </row>
    <row r="70" spans="1:10" x14ac:dyDescent="0.25">
      <c r="A70" s="11" t="s">
        <v>51</v>
      </c>
      <c r="B70" s="11" t="s">
        <v>71</v>
      </c>
      <c r="C70" s="11" t="s">
        <v>229</v>
      </c>
      <c r="D70" s="11">
        <v>70</v>
      </c>
      <c r="E70" s="11">
        <v>18</v>
      </c>
      <c r="F70" s="11">
        <v>12879</v>
      </c>
      <c r="G70" s="11">
        <v>10298</v>
      </c>
      <c r="H70" s="11">
        <f t="shared" si="2"/>
        <v>857</v>
      </c>
      <c r="I70" s="11">
        <v>740</v>
      </c>
      <c r="J70" s="11">
        <v>24774</v>
      </c>
    </row>
    <row r="71" spans="1:10" x14ac:dyDescent="0.25">
      <c r="A71" s="12" t="s">
        <v>79</v>
      </c>
      <c r="B71" s="12" t="s">
        <v>78</v>
      </c>
      <c r="C71" s="12" t="s">
        <v>230</v>
      </c>
      <c r="D71" s="12">
        <v>81</v>
      </c>
      <c r="E71" s="12">
        <v>20</v>
      </c>
      <c r="F71" s="12">
        <v>14824</v>
      </c>
      <c r="G71" s="12">
        <v>28051</v>
      </c>
      <c r="H71" s="12">
        <f t="shared" si="2"/>
        <v>624</v>
      </c>
      <c r="I71" s="12">
        <v>360</v>
      </c>
      <c r="J71" s="12">
        <v>43859</v>
      </c>
    </row>
    <row r="72" spans="1:10" x14ac:dyDescent="0.25">
      <c r="A72" s="11" t="s">
        <v>79</v>
      </c>
      <c r="B72" s="11" t="s">
        <v>80</v>
      </c>
      <c r="C72" s="11" t="s">
        <v>229</v>
      </c>
      <c r="D72" s="11">
        <v>56</v>
      </c>
      <c r="E72" s="11">
        <v>13</v>
      </c>
      <c r="F72" s="11">
        <v>10926</v>
      </c>
      <c r="G72" s="11">
        <v>18511</v>
      </c>
      <c r="H72" s="11">
        <f t="shared" si="2"/>
        <v>794</v>
      </c>
      <c r="I72" s="11">
        <v>349</v>
      </c>
      <c r="J72" s="11">
        <v>30580</v>
      </c>
    </row>
    <row r="73" spans="1:10" x14ac:dyDescent="0.25">
      <c r="A73" s="12" t="s">
        <v>79</v>
      </c>
      <c r="B73" s="12" t="s">
        <v>81</v>
      </c>
      <c r="C73" s="12" t="s">
        <v>229</v>
      </c>
      <c r="D73" s="12">
        <v>48</v>
      </c>
      <c r="E73" s="12">
        <v>14</v>
      </c>
      <c r="F73" s="12">
        <v>4238</v>
      </c>
      <c r="G73" s="12">
        <v>23419</v>
      </c>
      <c r="H73" s="12">
        <f t="shared" si="2"/>
        <v>706</v>
      </c>
      <c r="I73" s="12">
        <v>507</v>
      </c>
      <c r="J73" s="12">
        <v>28870</v>
      </c>
    </row>
    <row r="74" spans="1:10" x14ac:dyDescent="0.25">
      <c r="A74" s="11" t="s">
        <v>79</v>
      </c>
      <c r="B74" s="11" t="s">
        <v>82</v>
      </c>
      <c r="C74" s="11" t="s">
        <v>229</v>
      </c>
      <c r="D74" s="11">
        <v>61</v>
      </c>
      <c r="E74" s="11">
        <v>12</v>
      </c>
      <c r="F74" s="11">
        <v>4049</v>
      </c>
      <c r="G74" s="11">
        <v>22358</v>
      </c>
      <c r="H74" s="11">
        <f t="shared" si="2"/>
        <v>683</v>
      </c>
      <c r="I74" s="11">
        <v>357</v>
      </c>
      <c r="J74" s="11">
        <v>27447</v>
      </c>
    </row>
    <row r="75" spans="1:10" x14ac:dyDescent="0.25">
      <c r="A75" s="12" t="s">
        <v>79</v>
      </c>
      <c r="B75" s="12" t="s">
        <v>83</v>
      </c>
      <c r="C75" s="12" t="s">
        <v>229</v>
      </c>
      <c r="D75" s="12">
        <v>34</v>
      </c>
      <c r="E75" s="12">
        <v>8</v>
      </c>
      <c r="F75" s="12">
        <v>7085</v>
      </c>
      <c r="G75" s="12">
        <v>11620</v>
      </c>
      <c r="H75" s="12">
        <f t="shared" si="2"/>
        <v>682</v>
      </c>
      <c r="I75" s="12">
        <v>346</v>
      </c>
      <c r="J75" s="12">
        <v>19733</v>
      </c>
    </row>
    <row r="76" spans="1:10" x14ac:dyDescent="0.25">
      <c r="A76" s="11" t="s">
        <v>79</v>
      </c>
      <c r="B76" s="11" t="s">
        <v>84</v>
      </c>
      <c r="C76" s="11" t="s">
        <v>229</v>
      </c>
      <c r="D76" s="11">
        <v>41</v>
      </c>
      <c r="E76" s="11">
        <v>8</v>
      </c>
      <c r="F76" s="11">
        <v>4360</v>
      </c>
      <c r="G76" s="11">
        <v>17016</v>
      </c>
      <c r="H76" s="11">
        <f t="shared" si="2"/>
        <v>555</v>
      </c>
      <c r="I76" s="11">
        <v>327</v>
      </c>
      <c r="J76" s="11">
        <v>22258</v>
      </c>
    </row>
    <row r="77" spans="1:10" x14ac:dyDescent="0.25">
      <c r="A77" s="12" t="s">
        <v>79</v>
      </c>
      <c r="B77" s="12" t="s">
        <v>85</v>
      </c>
      <c r="C77" s="12" t="s">
        <v>229</v>
      </c>
      <c r="D77" s="12">
        <v>57</v>
      </c>
      <c r="E77" s="12">
        <v>9</v>
      </c>
      <c r="F77" s="12">
        <v>10451</v>
      </c>
      <c r="G77" s="12">
        <v>17115</v>
      </c>
      <c r="H77" s="12">
        <f t="shared" si="2"/>
        <v>681</v>
      </c>
      <c r="I77" s="12">
        <v>477</v>
      </c>
      <c r="J77" s="12">
        <v>28724</v>
      </c>
    </row>
    <row r="78" spans="1:10" x14ac:dyDescent="0.25">
      <c r="A78" s="11" t="s">
        <v>79</v>
      </c>
      <c r="B78" s="11" t="s">
        <v>86</v>
      </c>
      <c r="C78" s="11" t="s">
        <v>229</v>
      </c>
      <c r="D78" s="11">
        <v>53</v>
      </c>
      <c r="E78" s="11">
        <v>10</v>
      </c>
      <c r="F78" s="11">
        <v>3713</v>
      </c>
      <c r="G78" s="11">
        <v>18386</v>
      </c>
      <c r="H78" s="11">
        <f t="shared" si="2"/>
        <v>354</v>
      </c>
      <c r="I78" s="11">
        <v>310</v>
      </c>
      <c r="J78" s="11">
        <v>22763</v>
      </c>
    </row>
    <row r="79" spans="1:10" x14ac:dyDescent="0.25">
      <c r="A79" s="12" t="s">
        <v>79</v>
      </c>
      <c r="B79" s="12" t="s">
        <v>87</v>
      </c>
      <c r="C79" s="12" t="s">
        <v>229</v>
      </c>
      <c r="D79" s="12">
        <v>50</v>
      </c>
      <c r="E79" s="12">
        <v>15</v>
      </c>
      <c r="F79" s="12">
        <v>5998</v>
      </c>
      <c r="G79" s="12">
        <v>18029</v>
      </c>
      <c r="H79" s="12">
        <f t="shared" si="2"/>
        <v>940</v>
      </c>
      <c r="I79" s="12">
        <v>607</v>
      </c>
      <c r="J79" s="12">
        <v>25574</v>
      </c>
    </row>
    <row r="80" spans="1:10" x14ac:dyDescent="0.25">
      <c r="A80" s="11" t="s">
        <v>79</v>
      </c>
      <c r="B80" s="11" t="s">
        <v>88</v>
      </c>
      <c r="C80" s="11" t="s">
        <v>229</v>
      </c>
      <c r="D80" s="11">
        <v>49</v>
      </c>
      <c r="E80" s="11">
        <v>11</v>
      </c>
      <c r="F80" s="11">
        <v>2864</v>
      </c>
      <c r="G80" s="11">
        <v>20966</v>
      </c>
      <c r="H80" s="11">
        <f t="shared" ref="H80:H111" si="3">J80-I80-G80-F80</f>
        <v>924</v>
      </c>
      <c r="I80" s="11">
        <v>323</v>
      </c>
      <c r="J80" s="11">
        <v>25077</v>
      </c>
    </row>
    <row r="81" spans="1:10" x14ac:dyDescent="0.25">
      <c r="A81" s="12" t="s">
        <v>79</v>
      </c>
      <c r="B81" s="12" t="s">
        <v>89</v>
      </c>
      <c r="C81" s="12" t="s">
        <v>229</v>
      </c>
      <c r="D81" s="12">
        <v>41</v>
      </c>
      <c r="E81" s="12">
        <v>10</v>
      </c>
      <c r="F81" s="12">
        <v>2383</v>
      </c>
      <c r="G81" s="12">
        <v>16625</v>
      </c>
      <c r="H81" s="12">
        <f t="shared" si="3"/>
        <v>836</v>
      </c>
      <c r="I81" s="12">
        <v>374</v>
      </c>
      <c r="J81" s="12">
        <v>20218</v>
      </c>
    </row>
    <row r="82" spans="1:10" x14ac:dyDescent="0.25">
      <c r="A82" s="11" t="s">
        <v>79</v>
      </c>
      <c r="B82" s="11" t="s">
        <v>90</v>
      </c>
      <c r="C82" s="11" t="s">
        <v>229</v>
      </c>
      <c r="D82" s="11">
        <v>43</v>
      </c>
      <c r="E82" s="11">
        <v>12</v>
      </c>
      <c r="F82" s="11">
        <v>4579</v>
      </c>
      <c r="G82" s="11">
        <v>20307</v>
      </c>
      <c r="H82" s="11">
        <f t="shared" si="3"/>
        <v>649</v>
      </c>
      <c r="I82" s="11">
        <v>283</v>
      </c>
      <c r="J82" s="11">
        <v>25818</v>
      </c>
    </row>
    <row r="83" spans="1:10" x14ac:dyDescent="0.25">
      <c r="A83" s="12" t="s">
        <v>79</v>
      </c>
      <c r="B83" s="12" t="s">
        <v>91</v>
      </c>
      <c r="C83" s="12" t="s">
        <v>229</v>
      </c>
      <c r="D83" s="12">
        <v>52</v>
      </c>
      <c r="E83" s="12">
        <v>11</v>
      </c>
      <c r="F83" s="12">
        <v>3505</v>
      </c>
      <c r="G83" s="12">
        <v>20350</v>
      </c>
      <c r="H83" s="12">
        <f t="shared" si="3"/>
        <v>1608</v>
      </c>
      <c r="I83" s="12">
        <v>320</v>
      </c>
      <c r="J83" s="12">
        <v>25783</v>
      </c>
    </row>
    <row r="84" spans="1:10" x14ac:dyDescent="0.25">
      <c r="A84" s="11" t="s">
        <v>79</v>
      </c>
      <c r="B84" s="11" t="s">
        <v>92</v>
      </c>
      <c r="C84" s="11" t="s">
        <v>229</v>
      </c>
      <c r="D84" s="11">
        <v>45</v>
      </c>
      <c r="E84" s="11">
        <v>12</v>
      </c>
      <c r="F84" s="11">
        <v>1786</v>
      </c>
      <c r="G84" s="11">
        <v>16616</v>
      </c>
      <c r="H84" s="11">
        <f t="shared" si="3"/>
        <v>221</v>
      </c>
      <c r="I84" s="11">
        <v>194</v>
      </c>
      <c r="J84" s="11">
        <v>18817</v>
      </c>
    </row>
    <row r="85" spans="1:10" x14ac:dyDescent="0.25">
      <c r="A85" s="12" t="s">
        <v>79</v>
      </c>
      <c r="B85" s="12" t="s">
        <v>93</v>
      </c>
      <c r="C85" s="12" t="s">
        <v>229</v>
      </c>
      <c r="D85" s="12">
        <v>56</v>
      </c>
      <c r="E85" s="12">
        <v>17</v>
      </c>
      <c r="F85" s="12">
        <v>2169</v>
      </c>
      <c r="G85" s="12">
        <v>23115</v>
      </c>
      <c r="H85" s="12">
        <f t="shared" si="3"/>
        <v>291</v>
      </c>
      <c r="I85" s="12">
        <v>283</v>
      </c>
      <c r="J85" s="12">
        <v>25858</v>
      </c>
    </row>
    <row r="86" spans="1:10" x14ac:dyDescent="0.25">
      <c r="A86" s="11" t="s">
        <v>79</v>
      </c>
      <c r="B86" s="11" t="s">
        <v>94</v>
      </c>
      <c r="C86" s="11" t="s">
        <v>229</v>
      </c>
      <c r="D86" s="11">
        <v>81</v>
      </c>
      <c r="E86" s="11">
        <v>21</v>
      </c>
      <c r="F86" s="11">
        <v>4152</v>
      </c>
      <c r="G86" s="11">
        <v>21933</v>
      </c>
      <c r="H86" s="11">
        <f t="shared" si="3"/>
        <v>515</v>
      </c>
      <c r="I86" s="11">
        <v>262</v>
      </c>
      <c r="J86" s="11">
        <v>26862</v>
      </c>
    </row>
    <row r="87" spans="1:10" x14ac:dyDescent="0.25">
      <c r="A87" s="12" t="s">
        <v>79</v>
      </c>
      <c r="B87" s="12" t="s">
        <v>95</v>
      </c>
      <c r="C87" s="12" t="s">
        <v>229</v>
      </c>
      <c r="D87" s="12">
        <v>46</v>
      </c>
      <c r="E87" s="12">
        <v>14</v>
      </c>
      <c r="F87" s="12">
        <v>4503</v>
      </c>
      <c r="G87" s="12">
        <v>18843</v>
      </c>
      <c r="H87" s="12">
        <f t="shared" si="3"/>
        <v>652</v>
      </c>
      <c r="I87" s="12">
        <v>241</v>
      </c>
      <c r="J87" s="12">
        <v>24239</v>
      </c>
    </row>
    <row r="88" spans="1:10" x14ac:dyDescent="0.25">
      <c r="A88" s="11" t="s">
        <v>79</v>
      </c>
      <c r="B88" s="11" t="s">
        <v>96</v>
      </c>
      <c r="C88" s="11" t="s">
        <v>229</v>
      </c>
      <c r="D88" s="11">
        <v>57</v>
      </c>
      <c r="E88" s="11">
        <v>15</v>
      </c>
      <c r="F88" s="11">
        <v>4478</v>
      </c>
      <c r="G88" s="11">
        <v>26316</v>
      </c>
      <c r="H88" s="11">
        <f t="shared" si="3"/>
        <v>386</v>
      </c>
      <c r="I88" s="11">
        <v>499</v>
      </c>
      <c r="J88" s="11">
        <v>31679</v>
      </c>
    </row>
    <row r="89" spans="1:10" x14ac:dyDescent="0.25">
      <c r="A89" s="12" t="s">
        <v>97</v>
      </c>
      <c r="B89" s="12" t="s">
        <v>98</v>
      </c>
      <c r="C89" s="12" t="s">
        <v>229</v>
      </c>
      <c r="D89" s="12">
        <v>40</v>
      </c>
      <c r="E89" s="12">
        <v>10</v>
      </c>
      <c r="F89" s="12">
        <v>5865</v>
      </c>
      <c r="G89" s="12">
        <v>7314</v>
      </c>
      <c r="H89" s="12">
        <f t="shared" si="3"/>
        <v>671</v>
      </c>
      <c r="I89" s="12">
        <v>180</v>
      </c>
      <c r="J89" s="12">
        <v>14030</v>
      </c>
    </row>
    <row r="90" spans="1:10" x14ac:dyDescent="0.25">
      <c r="A90" s="11" t="s">
        <v>97</v>
      </c>
      <c r="B90" s="11" t="s">
        <v>99</v>
      </c>
      <c r="C90" s="11" t="s">
        <v>229</v>
      </c>
      <c r="D90" s="11">
        <v>31</v>
      </c>
      <c r="E90" s="11">
        <v>7</v>
      </c>
      <c r="F90" s="11">
        <v>4545</v>
      </c>
      <c r="G90" s="11">
        <v>6761</v>
      </c>
      <c r="H90" s="11">
        <f t="shared" si="3"/>
        <v>720</v>
      </c>
      <c r="I90" s="11">
        <v>199</v>
      </c>
      <c r="J90" s="11">
        <v>12225</v>
      </c>
    </row>
    <row r="91" spans="1:10" x14ac:dyDescent="0.25">
      <c r="A91" s="12" t="s">
        <v>97</v>
      </c>
      <c r="B91" s="12" t="s">
        <v>100</v>
      </c>
      <c r="C91" s="12" t="s">
        <v>229</v>
      </c>
      <c r="D91" s="12">
        <v>70</v>
      </c>
      <c r="E91" s="12">
        <v>19</v>
      </c>
      <c r="F91" s="12">
        <v>8428</v>
      </c>
      <c r="G91" s="12">
        <v>16026</v>
      </c>
      <c r="H91" s="12">
        <f t="shared" si="3"/>
        <v>602</v>
      </c>
      <c r="I91" s="12">
        <v>231</v>
      </c>
      <c r="J91" s="12">
        <v>25287</v>
      </c>
    </row>
    <row r="92" spans="1:10" x14ac:dyDescent="0.25">
      <c r="A92" s="11" t="s">
        <v>97</v>
      </c>
      <c r="B92" s="11" t="s">
        <v>101</v>
      </c>
      <c r="C92" s="11" t="s">
        <v>229</v>
      </c>
      <c r="D92" s="11">
        <v>52</v>
      </c>
      <c r="E92" s="11">
        <v>8</v>
      </c>
      <c r="F92" s="11">
        <v>11064</v>
      </c>
      <c r="G92" s="11">
        <v>12583</v>
      </c>
      <c r="H92" s="11">
        <f t="shared" si="3"/>
        <v>665</v>
      </c>
      <c r="I92" s="11">
        <v>304</v>
      </c>
      <c r="J92" s="11">
        <v>24616</v>
      </c>
    </row>
    <row r="93" spans="1:10" x14ac:dyDescent="0.25">
      <c r="A93" s="12" t="s">
        <v>97</v>
      </c>
      <c r="B93" s="12" t="s">
        <v>102</v>
      </c>
      <c r="C93" s="12" t="s">
        <v>230</v>
      </c>
      <c r="D93" s="12">
        <v>125</v>
      </c>
      <c r="E93" s="12">
        <v>17</v>
      </c>
      <c r="F93" s="12">
        <v>39689</v>
      </c>
      <c r="G93" s="12">
        <v>21593</v>
      </c>
      <c r="H93" s="12">
        <f t="shared" si="3"/>
        <v>931</v>
      </c>
      <c r="I93" s="12">
        <v>676</v>
      </c>
      <c r="J93" s="12">
        <v>62889</v>
      </c>
    </row>
    <row r="94" spans="1:10" x14ac:dyDescent="0.25">
      <c r="A94" s="11" t="s">
        <v>97</v>
      </c>
      <c r="B94" s="11" t="s">
        <v>103</v>
      </c>
      <c r="C94" s="11" t="s">
        <v>229</v>
      </c>
      <c r="D94" s="11">
        <v>66</v>
      </c>
      <c r="E94" s="11">
        <v>8</v>
      </c>
      <c r="F94" s="11">
        <v>19178</v>
      </c>
      <c r="G94" s="11">
        <v>12991</v>
      </c>
      <c r="H94" s="11">
        <f t="shared" si="3"/>
        <v>784</v>
      </c>
      <c r="I94" s="11">
        <v>482</v>
      </c>
      <c r="J94" s="11">
        <v>33435</v>
      </c>
    </row>
    <row r="95" spans="1:10" x14ac:dyDescent="0.25">
      <c r="A95" s="12" t="s">
        <v>97</v>
      </c>
      <c r="B95" s="12" t="s">
        <v>104</v>
      </c>
      <c r="C95" s="12" t="s">
        <v>229</v>
      </c>
      <c r="D95" s="12">
        <v>51</v>
      </c>
      <c r="E95" s="12">
        <v>9</v>
      </c>
      <c r="F95" s="12">
        <v>1280</v>
      </c>
      <c r="G95" s="12">
        <v>23966</v>
      </c>
      <c r="H95" s="12">
        <f t="shared" si="3"/>
        <v>210</v>
      </c>
      <c r="I95" s="12">
        <v>182</v>
      </c>
      <c r="J95" s="12">
        <v>25638</v>
      </c>
    </row>
    <row r="96" spans="1:10" x14ac:dyDescent="0.25">
      <c r="A96" s="11" t="s">
        <v>97</v>
      </c>
      <c r="B96" s="11" t="s">
        <v>105</v>
      </c>
      <c r="C96" s="11" t="s">
        <v>229</v>
      </c>
      <c r="D96" s="11">
        <v>49</v>
      </c>
      <c r="E96" s="11">
        <v>8</v>
      </c>
      <c r="F96" s="11">
        <v>2257</v>
      </c>
      <c r="G96" s="11">
        <v>20740</v>
      </c>
      <c r="H96" s="11">
        <f t="shared" si="3"/>
        <v>324</v>
      </c>
      <c r="I96" s="11">
        <v>402</v>
      </c>
      <c r="J96" s="11">
        <v>23723</v>
      </c>
    </row>
    <row r="97" spans="1:10" x14ac:dyDescent="0.25">
      <c r="A97" s="12" t="s">
        <v>97</v>
      </c>
      <c r="B97" s="12" t="s">
        <v>106</v>
      </c>
      <c r="C97" s="12" t="s">
        <v>229</v>
      </c>
      <c r="D97" s="12">
        <v>67</v>
      </c>
      <c r="E97" s="12">
        <v>11</v>
      </c>
      <c r="F97" s="12">
        <v>5679</v>
      </c>
      <c r="G97" s="12">
        <v>17057</v>
      </c>
      <c r="H97" s="12">
        <f t="shared" si="3"/>
        <v>443</v>
      </c>
      <c r="I97" s="12">
        <v>362</v>
      </c>
      <c r="J97" s="12">
        <v>23541</v>
      </c>
    </row>
    <row r="98" spans="1:10" x14ac:dyDescent="0.25">
      <c r="A98" s="11" t="s">
        <v>97</v>
      </c>
      <c r="B98" s="11" t="s">
        <v>107</v>
      </c>
      <c r="C98" s="11" t="s">
        <v>231</v>
      </c>
      <c r="D98" s="11">
        <v>40</v>
      </c>
      <c r="E98" s="11">
        <v>12</v>
      </c>
      <c r="F98" s="11">
        <v>16772</v>
      </c>
      <c r="G98" s="11">
        <v>7473</v>
      </c>
      <c r="H98" s="11">
        <f t="shared" si="3"/>
        <v>303</v>
      </c>
      <c r="I98" s="11">
        <v>124</v>
      </c>
      <c r="J98" s="11">
        <v>24672</v>
      </c>
    </row>
    <row r="99" spans="1:10" x14ac:dyDescent="0.25">
      <c r="A99" s="12" t="s">
        <v>97</v>
      </c>
      <c r="B99" s="12" t="s">
        <v>108</v>
      </c>
      <c r="C99" s="12" t="s">
        <v>229</v>
      </c>
      <c r="D99" s="12">
        <v>39</v>
      </c>
      <c r="E99" s="12">
        <v>10</v>
      </c>
      <c r="F99" s="12">
        <v>7034</v>
      </c>
      <c r="G99" s="12">
        <v>7016</v>
      </c>
      <c r="H99" s="12">
        <f t="shared" si="3"/>
        <v>651</v>
      </c>
      <c r="I99" s="12">
        <v>231</v>
      </c>
      <c r="J99" s="12">
        <v>14932</v>
      </c>
    </row>
    <row r="100" spans="1:10" x14ac:dyDescent="0.25">
      <c r="A100" s="11" t="s">
        <v>97</v>
      </c>
      <c r="B100" s="11" t="s">
        <v>109</v>
      </c>
      <c r="C100" s="11" t="s">
        <v>229</v>
      </c>
      <c r="D100" s="11">
        <v>48</v>
      </c>
      <c r="E100" s="11">
        <v>7</v>
      </c>
      <c r="F100" s="11">
        <v>3848</v>
      </c>
      <c r="G100" s="11">
        <v>16376</v>
      </c>
      <c r="H100" s="11">
        <f t="shared" si="3"/>
        <v>522</v>
      </c>
      <c r="I100" s="11">
        <v>323</v>
      </c>
      <c r="J100" s="11">
        <v>21069</v>
      </c>
    </row>
    <row r="101" spans="1:10" x14ac:dyDescent="0.25">
      <c r="A101" s="12" t="s">
        <v>97</v>
      </c>
      <c r="B101" s="12" t="s">
        <v>110</v>
      </c>
      <c r="C101" s="12" t="s">
        <v>229</v>
      </c>
      <c r="D101" s="12">
        <v>41</v>
      </c>
      <c r="E101" s="12">
        <v>6</v>
      </c>
      <c r="F101" s="12">
        <v>1854</v>
      </c>
      <c r="G101" s="12">
        <v>17728</v>
      </c>
      <c r="H101" s="12">
        <f t="shared" si="3"/>
        <v>307</v>
      </c>
      <c r="I101" s="12">
        <v>416</v>
      </c>
      <c r="J101" s="12">
        <v>20305</v>
      </c>
    </row>
    <row r="102" spans="1:10" x14ac:dyDescent="0.25">
      <c r="A102" s="11" t="s">
        <v>97</v>
      </c>
      <c r="B102" s="11" t="s">
        <v>111</v>
      </c>
      <c r="C102" s="11" t="s">
        <v>229</v>
      </c>
      <c r="D102" s="11">
        <v>33</v>
      </c>
      <c r="E102" s="11">
        <v>5</v>
      </c>
      <c r="F102" s="11">
        <v>1400</v>
      </c>
      <c r="G102" s="11">
        <v>13846</v>
      </c>
      <c r="H102" s="11">
        <f t="shared" si="3"/>
        <v>196</v>
      </c>
      <c r="I102" s="11">
        <v>191</v>
      </c>
      <c r="J102" s="11">
        <v>15633</v>
      </c>
    </row>
    <row r="103" spans="1:10" x14ac:dyDescent="0.25">
      <c r="A103" s="12" t="s">
        <v>97</v>
      </c>
      <c r="B103" s="12" t="s">
        <v>112</v>
      </c>
      <c r="C103" s="12" t="s">
        <v>229</v>
      </c>
      <c r="D103" s="12">
        <v>56</v>
      </c>
      <c r="E103" s="12">
        <v>12</v>
      </c>
      <c r="F103" s="12">
        <v>7401</v>
      </c>
      <c r="G103" s="12">
        <v>14339</v>
      </c>
      <c r="H103" s="12">
        <f t="shared" si="3"/>
        <v>621</v>
      </c>
      <c r="I103" s="12">
        <v>246</v>
      </c>
      <c r="J103" s="12">
        <v>22607</v>
      </c>
    </row>
    <row r="104" spans="1:10" x14ac:dyDescent="0.25">
      <c r="A104" s="11" t="s">
        <v>97</v>
      </c>
      <c r="B104" s="11" t="s">
        <v>113</v>
      </c>
      <c r="C104" s="11" t="s">
        <v>229</v>
      </c>
      <c r="D104" s="11">
        <v>49</v>
      </c>
      <c r="E104" s="11">
        <v>9</v>
      </c>
      <c r="F104" s="11">
        <v>4824</v>
      </c>
      <c r="G104" s="11">
        <v>18325</v>
      </c>
      <c r="H104" s="11">
        <f t="shared" si="3"/>
        <v>461</v>
      </c>
      <c r="I104" s="11">
        <v>229</v>
      </c>
      <c r="J104" s="11">
        <v>23839</v>
      </c>
    </row>
    <row r="105" spans="1:10" x14ac:dyDescent="0.25">
      <c r="A105" s="12" t="s">
        <v>97</v>
      </c>
      <c r="B105" s="12" t="s">
        <v>114</v>
      </c>
      <c r="C105" s="12" t="s">
        <v>229</v>
      </c>
      <c r="D105" s="12">
        <v>53</v>
      </c>
      <c r="E105" s="12">
        <v>9</v>
      </c>
      <c r="F105" s="12">
        <v>8263</v>
      </c>
      <c r="G105" s="12">
        <v>13185</v>
      </c>
      <c r="H105" s="12">
        <f t="shared" si="3"/>
        <v>817</v>
      </c>
      <c r="I105" s="12">
        <v>349</v>
      </c>
      <c r="J105" s="12">
        <v>22614</v>
      </c>
    </row>
    <row r="106" spans="1:10" x14ac:dyDescent="0.25">
      <c r="A106" s="11" t="s">
        <v>97</v>
      </c>
      <c r="B106" s="11" t="s">
        <v>115</v>
      </c>
      <c r="C106" s="11" t="s">
        <v>229</v>
      </c>
      <c r="D106" s="11">
        <v>40</v>
      </c>
      <c r="E106" s="11">
        <v>8</v>
      </c>
      <c r="F106" s="11">
        <v>2818</v>
      </c>
      <c r="G106" s="11">
        <v>14161</v>
      </c>
      <c r="H106" s="11">
        <f t="shared" si="3"/>
        <v>284</v>
      </c>
      <c r="I106" s="11">
        <v>221</v>
      </c>
      <c r="J106" s="11">
        <v>17484</v>
      </c>
    </row>
    <row r="107" spans="1:10" x14ac:dyDescent="0.25">
      <c r="A107" s="12" t="s">
        <v>97</v>
      </c>
      <c r="B107" s="12" t="s">
        <v>116</v>
      </c>
      <c r="C107" s="12" t="s">
        <v>229</v>
      </c>
      <c r="D107" s="12">
        <v>54</v>
      </c>
      <c r="E107" s="12">
        <v>11</v>
      </c>
      <c r="F107" s="12">
        <v>3778</v>
      </c>
      <c r="G107" s="12">
        <v>16285</v>
      </c>
      <c r="H107" s="12">
        <f t="shared" si="3"/>
        <v>290</v>
      </c>
      <c r="I107" s="12">
        <v>246</v>
      </c>
      <c r="J107" s="12">
        <v>20599</v>
      </c>
    </row>
    <row r="108" spans="1:10" x14ac:dyDescent="0.25">
      <c r="A108" s="11" t="s">
        <v>97</v>
      </c>
      <c r="B108" s="11" t="s">
        <v>117</v>
      </c>
      <c r="C108" s="11" t="s">
        <v>229</v>
      </c>
      <c r="D108" s="11">
        <v>63</v>
      </c>
      <c r="E108" s="11">
        <v>10</v>
      </c>
      <c r="F108" s="11">
        <v>5088</v>
      </c>
      <c r="G108" s="11">
        <v>19969</v>
      </c>
      <c r="H108" s="11">
        <f t="shared" si="3"/>
        <v>274</v>
      </c>
      <c r="I108" s="11">
        <v>320</v>
      </c>
      <c r="J108" s="11">
        <v>25651</v>
      </c>
    </row>
    <row r="109" spans="1:10" x14ac:dyDescent="0.25">
      <c r="A109" s="12" t="s">
        <v>97</v>
      </c>
      <c r="B109" s="12" t="s">
        <v>118</v>
      </c>
      <c r="C109" s="12" t="s">
        <v>229</v>
      </c>
      <c r="D109" s="12">
        <v>94</v>
      </c>
      <c r="E109" s="12">
        <v>14</v>
      </c>
      <c r="F109" s="12">
        <v>20322</v>
      </c>
      <c r="G109" s="12">
        <v>16047</v>
      </c>
      <c r="H109" s="12">
        <f t="shared" si="3"/>
        <v>1002</v>
      </c>
      <c r="I109" s="12">
        <v>379</v>
      </c>
      <c r="J109" s="12">
        <v>37750</v>
      </c>
    </row>
    <row r="110" spans="1:10" x14ac:dyDescent="0.25">
      <c r="A110" s="11" t="s">
        <v>97</v>
      </c>
      <c r="B110" s="11" t="s">
        <v>119</v>
      </c>
      <c r="C110" s="11" t="s">
        <v>229</v>
      </c>
      <c r="D110" s="11">
        <v>43</v>
      </c>
      <c r="E110" s="11">
        <v>9</v>
      </c>
      <c r="F110" s="11">
        <v>3992</v>
      </c>
      <c r="G110" s="11">
        <v>12997</v>
      </c>
      <c r="H110" s="11">
        <f t="shared" si="3"/>
        <v>436</v>
      </c>
      <c r="I110" s="11">
        <v>237</v>
      </c>
      <c r="J110" s="11">
        <v>17662</v>
      </c>
    </row>
    <row r="111" spans="1:10" x14ac:dyDescent="0.25">
      <c r="A111" s="12" t="s">
        <v>97</v>
      </c>
      <c r="B111" s="12" t="s">
        <v>120</v>
      </c>
      <c r="C111" s="12" t="s">
        <v>229</v>
      </c>
      <c r="D111" s="12">
        <v>36</v>
      </c>
      <c r="E111" s="12">
        <v>8</v>
      </c>
      <c r="F111" s="12">
        <v>3642</v>
      </c>
      <c r="G111" s="12">
        <v>7839</v>
      </c>
      <c r="H111" s="12">
        <f t="shared" si="3"/>
        <v>366</v>
      </c>
      <c r="I111" s="12">
        <v>204</v>
      </c>
      <c r="J111" s="12">
        <v>12051</v>
      </c>
    </row>
    <row r="112" spans="1:10" x14ac:dyDescent="0.25">
      <c r="A112" s="11" t="s">
        <v>121</v>
      </c>
      <c r="B112" s="11" t="s">
        <v>122</v>
      </c>
      <c r="C112" s="11" t="s">
        <v>229</v>
      </c>
      <c r="D112" s="11">
        <v>78</v>
      </c>
      <c r="E112" s="11">
        <v>14</v>
      </c>
      <c r="F112" s="11">
        <v>7268</v>
      </c>
      <c r="G112" s="11">
        <v>16068</v>
      </c>
      <c r="H112" s="11">
        <f t="shared" ref="H112:H143" si="4">J112-I112-G112-F112</f>
        <v>820</v>
      </c>
      <c r="I112" s="11">
        <v>357</v>
      </c>
      <c r="J112" s="11">
        <v>24513</v>
      </c>
    </row>
    <row r="113" spans="1:10" x14ac:dyDescent="0.25">
      <c r="A113" s="12" t="s">
        <v>121</v>
      </c>
      <c r="B113" s="12" t="s">
        <v>123</v>
      </c>
      <c r="C113" s="12" t="s">
        <v>230</v>
      </c>
      <c r="D113" s="12">
        <v>57</v>
      </c>
      <c r="E113" s="12">
        <v>15</v>
      </c>
      <c r="F113" s="12">
        <v>14019</v>
      </c>
      <c r="G113" s="12">
        <v>10574</v>
      </c>
      <c r="H113" s="12">
        <f t="shared" si="4"/>
        <v>495</v>
      </c>
      <c r="I113" s="12">
        <v>298</v>
      </c>
      <c r="J113" s="12">
        <v>25386</v>
      </c>
    </row>
    <row r="114" spans="1:10" x14ac:dyDescent="0.25">
      <c r="A114" s="11" t="s">
        <v>121</v>
      </c>
      <c r="B114" s="11" t="s">
        <v>124</v>
      </c>
      <c r="C114" s="11" t="s">
        <v>229</v>
      </c>
      <c r="D114" s="11">
        <v>57</v>
      </c>
      <c r="E114" s="11">
        <v>9</v>
      </c>
      <c r="F114" s="11">
        <v>9465</v>
      </c>
      <c r="G114" s="11">
        <v>8794</v>
      </c>
      <c r="H114" s="11">
        <f t="shared" si="4"/>
        <v>940</v>
      </c>
      <c r="I114" s="11">
        <v>291</v>
      </c>
      <c r="J114" s="11">
        <v>19490</v>
      </c>
    </row>
    <row r="115" spans="1:10" x14ac:dyDescent="0.25">
      <c r="A115" s="12" t="s">
        <v>121</v>
      </c>
      <c r="B115" s="12" t="s">
        <v>125</v>
      </c>
      <c r="C115" s="12" t="s">
        <v>230</v>
      </c>
      <c r="D115" s="12">
        <v>70</v>
      </c>
      <c r="E115" s="12">
        <v>16</v>
      </c>
      <c r="F115" s="12">
        <v>20194</v>
      </c>
      <c r="G115" s="12">
        <v>9436</v>
      </c>
      <c r="H115" s="12">
        <f t="shared" si="4"/>
        <v>532</v>
      </c>
      <c r="I115" s="12">
        <v>199</v>
      </c>
      <c r="J115" s="12">
        <v>30361</v>
      </c>
    </row>
    <row r="116" spans="1:10" x14ac:dyDescent="0.25">
      <c r="A116" s="11" t="s">
        <v>121</v>
      </c>
      <c r="B116" s="11" t="s">
        <v>126</v>
      </c>
      <c r="C116" s="11" t="s">
        <v>230</v>
      </c>
      <c r="D116" s="11">
        <v>78</v>
      </c>
      <c r="E116" s="11">
        <v>15</v>
      </c>
      <c r="F116" s="11">
        <v>10119</v>
      </c>
      <c r="G116" s="11">
        <v>15257</v>
      </c>
      <c r="H116" s="11">
        <f t="shared" si="4"/>
        <v>642</v>
      </c>
      <c r="I116" s="11">
        <v>354</v>
      </c>
      <c r="J116" s="11">
        <v>26372</v>
      </c>
    </row>
    <row r="117" spans="1:10" x14ac:dyDescent="0.25">
      <c r="A117" s="12" t="s">
        <v>121</v>
      </c>
      <c r="B117" s="12" t="s">
        <v>127</v>
      </c>
      <c r="C117" s="12" t="s">
        <v>229</v>
      </c>
      <c r="D117" s="12">
        <v>64</v>
      </c>
      <c r="E117" s="12">
        <v>7</v>
      </c>
      <c r="F117" s="12">
        <v>5090</v>
      </c>
      <c r="G117" s="12">
        <v>21313</v>
      </c>
      <c r="H117" s="12">
        <f t="shared" si="4"/>
        <v>867</v>
      </c>
      <c r="I117" s="12">
        <v>420</v>
      </c>
      <c r="J117" s="12">
        <v>27690</v>
      </c>
    </row>
    <row r="118" spans="1:10" x14ac:dyDescent="0.25">
      <c r="A118" s="11" t="s">
        <v>121</v>
      </c>
      <c r="B118" s="11" t="s">
        <v>128</v>
      </c>
      <c r="C118" s="11" t="s">
        <v>229</v>
      </c>
      <c r="D118" s="11">
        <v>44</v>
      </c>
      <c r="E118" s="11">
        <v>4</v>
      </c>
      <c r="F118" s="11">
        <v>6233</v>
      </c>
      <c r="G118" s="11">
        <v>12505</v>
      </c>
      <c r="H118" s="11">
        <f t="shared" si="4"/>
        <v>878</v>
      </c>
      <c r="I118" s="11">
        <v>457</v>
      </c>
      <c r="J118" s="11">
        <v>20073</v>
      </c>
    </row>
    <row r="119" spans="1:10" x14ac:dyDescent="0.25">
      <c r="A119" s="12" t="s">
        <v>121</v>
      </c>
      <c r="B119" s="12" t="s">
        <v>129</v>
      </c>
      <c r="C119" s="12" t="s">
        <v>229</v>
      </c>
      <c r="D119" s="12">
        <v>43</v>
      </c>
      <c r="E119" s="12">
        <v>6</v>
      </c>
      <c r="F119" s="12">
        <v>8330</v>
      </c>
      <c r="G119" s="12">
        <v>10266</v>
      </c>
      <c r="H119" s="12">
        <f t="shared" si="4"/>
        <v>1176</v>
      </c>
      <c r="I119" s="12">
        <v>527</v>
      </c>
      <c r="J119" s="12">
        <v>20299</v>
      </c>
    </row>
    <row r="120" spans="1:10" x14ac:dyDescent="0.25">
      <c r="A120" s="11" t="s">
        <v>121</v>
      </c>
      <c r="B120" s="11" t="s">
        <v>130</v>
      </c>
      <c r="C120" s="11" t="s">
        <v>229</v>
      </c>
      <c r="D120" s="11">
        <v>40</v>
      </c>
      <c r="E120" s="11">
        <v>4</v>
      </c>
      <c r="F120" s="11">
        <v>9010</v>
      </c>
      <c r="G120" s="11">
        <v>8514</v>
      </c>
      <c r="H120" s="11">
        <f t="shared" si="4"/>
        <v>1004</v>
      </c>
      <c r="I120" s="11">
        <v>444</v>
      </c>
      <c r="J120" s="11">
        <v>18972</v>
      </c>
    </row>
    <row r="121" spans="1:10" x14ac:dyDescent="0.25">
      <c r="A121" s="12" t="s">
        <v>121</v>
      </c>
      <c r="B121" s="12" t="s">
        <v>131</v>
      </c>
      <c r="C121" s="12" t="s">
        <v>230</v>
      </c>
      <c r="D121" s="12">
        <v>81</v>
      </c>
      <c r="E121" s="12">
        <v>21</v>
      </c>
      <c r="F121" s="12">
        <v>14555</v>
      </c>
      <c r="G121" s="12">
        <v>11631</v>
      </c>
      <c r="H121" s="12">
        <f t="shared" si="4"/>
        <v>959</v>
      </c>
      <c r="I121" s="12">
        <v>594</v>
      </c>
      <c r="J121" s="12">
        <v>27739</v>
      </c>
    </row>
    <row r="122" spans="1:10" x14ac:dyDescent="0.25">
      <c r="A122" s="11" t="s">
        <v>121</v>
      </c>
      <c r="B122" s="11" t="s">
        <v>132</v>
      </c>
      <c r="C122" s="11" t="s">
        <v>231</v>
      </c>
      <c r="D122" s="11">
        <v>60</v>
      </c>
      <c r="E122" s="11">
        <v>15</v>
      </c>
      <c r="F122" s="11">
        <v>19740</v>
      </c>
      <c r="G122" s="11">
        <v>9088</v>
      </c>
      <c r="H122" s="11">
        <f t="shared" si="4"/>
        <v>555</v>
      </c>
      <c r="I122" s="11">
        <v>279</v>
      </c>
      <c r="J122" s="11">
        <v>29662</v>
      </c>
    </row>
    <row r="123" spans="1:10" x14ac:dyDescent="0.25">
      <c r="A123" s="12" t="s">
        <v>121</v>
      </c>
      <c r="B123" s="12" t="s">
        <v>133</v>
      </c>
      <c r="C123" s="12" t="s">
        <v>229</v>
      </c>
      <c r="D123" s="12">
        <v>65</v>
      </c>
      <c r="E123" s="12">
        <v>10</v>
      </c>
      <c r="F123" s="12">
        <v>4808</v>
      </c>
      <c r="G123" s="12">
        <v>18868</v>
      </c>
      <c r="H123" s="12">
        <f t="shared" si="4"/>
        <v>1064</v>
      </c>
      <c r="I123" s="12">
        <v>538</v>
      </c>
      <c r="J123" s="12">
        <v>25278</v>
      </c>
    </row>
    <row r="124" spans="1:10" x14ac:dyDescent="0.25">
      <c r="A124" s="11" t="s">
        <v>121</v>
      </c>
      <c r="B124" s="11" t="s">
        <v>134</v>
      </c>
      <c r="C124" s="11" t="s">
        <v>229</v>
      </c>
      <c r="D124" s="11">
        <v>70</v>
      </c>
      <c r="E124" s="11">
        <v>9</v>
      </c>
      <c r="F124" s="11">
        <v>4463</v>
      </c>
      <c r="G124" s="11">
        <v>24924</v>
      </c>
      <c r="H124" s="11">
        <f t="shared" si="4"/>
        <v>662</v>
      </c>
      <c r="I124" s="11">
        <v>446</v>
      </c>
      <c r="J124" s="11">
        <v>30495</v>
      </c>
    </row>
    <row r="125" spans="1:10" x14ac:dyDescent="0.25">
      <c r="A125" s="12" t="s">
        <v>121</v>
      </c>
      <c r="B125" s="12" t="s">
        <v>135</v>
      </c>
      <c r="C125" s="12" t="s">
        <v>229</v>
      </c>
      <c r="D125" s="12">
        <v>70</v>
      </c>
      <c r="E125" s="12">
        <v>6</v>
      </c>
      <c r="F125" s="12">
        <v>4947</v>
      </c>
      <c r="G125" s="12">
        <v>25315</v>
      </c>
      <c r="H125" s="12">
        <f t="shared" si="4"/>
        <v>748</v>
      </c>
      <c r="I125" s="12">
        <v>527</v>
      </c>
      <c r="J125" s="12">
        <v>31537</v>
      </c>
    </row>
    <row r="126" spans="1:10" x14ac:dyDescent="0.25">
      <c r="A126" s="11" t="s">
        <v>121</v>
      </c>
      <c r="B126" s="11" t="s">
        <v>136</v>
      </c>
      <c r="C126" s="11" t="s">
        <v>231</v>
      </c>
      <c r="D126" s="11">
        <v>52</v>
      </c>
      <c r="E126" s="11">
        <v>13</v>
      </c>
      <c r="F126" s="11">
        <v>19190</v>
      </c>
      <c r="G126" s="11">
        <v>9981</v>
      </c>
      <c r="H126" s="11">
        <f t="shared" si="4"/>
        <v>490</v>
      </c>
      <c r="I126" s="11">
        <v>356</v>
      </c>
      <c r="J126" s="11">
        <v>30017</v>
      </c>
    </row>
    <row r="127" spans="1:10" x14ac:dyDescent="0.25">
      <c r="A127" s="12" t="s">
        <v>121</v>
      </c>
      <c r="B127" s="12" t="s">
        <v>137</v>
      </c>
      <c r="C127" s="12" t="s">
        <v>229</v>
      </c>
      <c r="D127" s="12">
        <v>57</v>
      </c>
      <c r="E127" s="12">
        <v>11</v>
      </c>
      <c r="F127" s="12">
        <v>10407</v>
      </c>
      <c r="G127" s="12">
        <v>11475</v>
      </c>
      <c r="H127" s="12">
        <f t="shared" si="4"/>
        <v>723</v>
      </c>
      <c r="I127" s="12">
        <v>290</v>
      </c>
      <c r="J127" s="12">
        <v>22895</v>
      </c>
    </row>
    <row r="128" spans="1:10" x14ac:dyDescent="0.25">
      <c r="A128" s="11" t="s">
        <v>121</v>
      </c>
      <c r="B128" s="11" t="s">
        <v>138</v>
      </c>
      <c r="C128" s="11" t="s">
        <v>230</v>
      </c>
      <c r="D128" s="11">
        <v>64</v>
      </c>
      <c r="E128" s="11">
        <v>9</v>
      </c>
      <c r="F128" s="11">
        <v>10648</v>
      </c>
      <c r="G128" s="11">
        <v>21954</v>
      </c>
      <c r="H128" s="11">
        <f t="shared" si="4"/>
        <v>785</v>
      </c>
      <c r="I128" s="11">
        <v>513</v>
      </c>
      <c r="J128" s="11">
        <v>33900</v>
      </c>
    </row>
    <row r="129" spans="1:10" x14ac:dyDescent="0.25">
      <c r="A129" s="12" t="s">
        <v>121</v>
      </c>
      <c r="B129" s="12" t="s">
        <v>139</v>
      </c>
      <c r="C129" s="12" t="s">
        <v>229</v>
      </c>
      <c r="D129" s="12">
        <v>41</v>
      </c>
      <c r="E129" s="12">
        <v>12</v>
      </c>
      <c r="F129" s="12">
        <v>5519</v>
      </c>
      <c r="G129" s="12">
        <v>11347</v>
      </c>
      <c r="H129" s="12">
        <f t="shared" si="4"/>
        <v>655</v>
      </c>
      <c r="I129" s="12">
        <v>321</v>
      </c>
      <c r="J129" s="12">
        <v>17842</v>
      </c>
    </row>
    <row r="130" spans="1:10" x14ac:dyDescent="0.25">
      <c r="A130" s="11" t="s">
        <v>121</v>
      </c>
      <c r="B130" s="11" t="s">
        <v>140</v>
      </c>
      <c r="C130" s="11" t="s">
        <v>229</v>
      </c>
      <c r="D130" s="11">
        <v>63</v>
      </c>
      <c r="E130" s="11">
        <v>5</v>
      </c>
      <c r="F130" s="11">
        <v>16179</v>
      </c>
      <c r="G130" s="11">
        <v>15465</v>
      </c>
      <c r="H130" s="11">
        <f t="shared" si="4"/>
        <v>755</v>
      </c>
      <c r="I130" s="11">
        <v>470</v>
      </c>
      <c r="J130" s="11">
        <v>32869</v>
      </c>
    </row>
    <row r="131" spans="1:10" x14ac:dyDescent="0.25">
      <c r="A131" s="12" t="s">
        <v>121</v>
      </c>
      <c r="B131" s="12" t="s">
        <v>141</v>
      </c>
      <c r="C131" s="12" t="s">
        <v>229</v>
      </c>
      <c r="D131" s="12">
        <v>61</v>
      </c>
      <c r="E131" s="12">
        <v>8</v>
      </c>
      <c r="F131" s="12">
        <v>3747</v>
      </c>
      <c r="G131" s="12">
        <v>20263</v>
      </c>
      <c r="H131" s="12">
        <f t="shared" si="4"/>
        <v>624</v>
      </c>
      <c r="I131" s="12">
        <v>421</v>
      </c>
      <c r="J131" s="12">
        <v>25055</v>
      </c>
    </row>
    <row r="132" spans="1:10" x14ac:dyDescent="0.25">
      <c r="A132" s="11" t="s">
        <v>121</v>
      </c>
      <c r="B132" s="11" t="s">
        <v>142</v>
      </c>
      <c r="C132" s="11" t="s">
        <v>229</v>
      </c>
      <c r="D132" s="11">
        <v>57</v>
      </c>
      <c r="E132" s="11">
        <v>9</v>
      </c>
      <c r="F132" s="11">
        <v>7706</v>
      </c>
      <c r="G132" s="11">
        <v>13298</v>
      </c>
      <c r="H132" s="11">
        <f t="shared" si="4"/>
        <v>666</v>
      </c>
      <c r="I132" s="11">
        <v>405</v>
      </c>
      <c r="J132" s="11">
        <v>22075</v>
      </c>
    </row>
    <row r="133" spans="1:10" x14ac:dyDescent="0.25">
      <c r="A133" s="12" t="s">
        <v>121</v>
      </c>
      <c r="B133" s="12" t="s">
        <v>143</v>
      </c>
      <c r="C133" s="12" t="s">
        <v>229</v>
      </c>
      <c r="D133" s="12">
        <v>50</v>
      </c>
      <c r="E133" s="12">
        <v>13</v>
      </c>
      <c r="F133" s="12">
        <v>8474</v>
      </c>
      <c r="G133" s="12">
        <v>8205</v>
      </c>
      <c r="H133" s="12">
        <f t="shared" si="4"/>
        <v>761</v>
      </c>
      <c r="I133" s="12">
        <v>226</v>
      </c>
      <c r="J133" s="12">
        <v>17666</v>
      </c>
    </row>
    <row r="134" spans="1:10" x14ac:dyDescent="0.25">
      <c r="A134" s="11" t="s">
        <v>144</v>
      </c>
      <c r="B134" s="11" t="s">
        <v>145</v>
      </c>
      <c r="C134" s="11" t="s">
        <v>229</v>
      </c>
      <c r="D134" s="11">
        <v>63</v>
      </c>
      <c r="E134" s="11">
        <v>11</v>
      </c>
      <c r="F134" s="11">
        <v>8633</v>
      </c>
      <c r="G134" s="11">
        <v>9849</v>
      </c>
      <c r="H134" s="11">
        <f t="shared" si="4"/>
        <v>933</v>
      </c>
      <c r="I134" s="11">
        <v>417</v>
      </c>
      <c r="J134" s="11">
        <v>19832</v>
      </c>
    </row>
    <row r="135" spans="1:10" x14ac:dyDescent="0.25">
      <c r="A135" s="12" t="s">
        <v>144</v>
      </c>
      <c r="B135" s="12" t="s">
        <v>146</v>
      </c>
      <c r="C135" s="12" t="s">
        <v>229</v>
      </c>
      <c r="D135" s="12">
        <v>52</v>
      </c>
      <c r="E135" s="12">
        <v>10</v>
      </c>
      <c r="F135" s="12">
        <v>6575</v>
      </c>
      <c r="G135" s="12">
        <v>9853</v>
      </c>
      <c r="H135" s="12">
        <f t="shared" si="4"/>
        <v>778</v>
      </c>
      <c r="I135" s="12">
        <v>300</v>
      </c>
      <c r="J135" s="12">
        <v>17506</v>
      </c>
    </row>
    <row r="136" spans="1:10" x14ac:dyDescent="0.25">
      <c r="A136" s="11" t="s">
        <v>144</v>
      </c>
      <c r="B136" s="11" t="s">
        <v>147</v>
      </c>
      <c r="C136" s="11" t="s">
        <v>229</v>
      </c>
      <c r="D136" s="11">
        <v>61</v>
      </c>
      <c r="E136" s="11">
        <v>11</v>
      </c>
      <c r="F136" s="11">
        <v>8712</v>
      </c>
      <c r="G136" s="11">
        <v>11907</v>
      </c>
      <c r="H136" s="11">
        <f t="shared" si="4"/>
        <v>811</v>
      </c>
      <c r="I136" s="11">
        <v>359</v>
      </c>
      <c r="J136" s="11">
        <v>21789</v>
      </c>
    </row>
    <row r="137" spans="1:10" x14ac:dyDescent="0.25">
      <c r="A137" s="12" t="s">
        <v>144</v>
      </c>
      <c r="B137" s="12" t="s">
        <v>148</v>
      </c>
      <c r="C137" s="12" t="s">
        <v>229</v>
      </c>
      <c r="D137" s="12">
        <v>35</v>
      </c>
      <c r="E137" s="12">
        <v>9</v>
      </c>
      <c r="F137" s="12">
        <v>4091</v>
      </c>
      <c r="G137" s="12">
        <v>9940</v>
      </c>
      <c r="H137" s="12">
        <f t="shared" si="4"/>
        <v>850</v>
      </c>
      <c r="I137" s="12">
        <v>349</v>
      </c>
      <c r="J137" s="12">
        <v>15230</v>
      </c>
    </row>
    <row r="138" spans="1:10" x14ac:dyDescent="0.25">
      <c r="A138" s="11" t="s">
        <v>144</v>
      </c>
      <c r="B138" s="11" t="s">
        <v>149</v>
      </c>
      <c r="C138" s="11" t="s">
        <v>229</v>
      </c>
      <c r="D138" s="11">
        <v>83</v>
      </c>
      <c r="E138" s="11">
        <v>11</v>
      </c>
      <c r="F138" s="11">
        <v>3091</v>
      </c>
      <c r="G138" s="11">
        <v>33841</v>
      </c>
      <c r="H138" s="11">
        <f t="shared" si="4"/>
        <v>955</v>
      </c>
      <c r="I138" s="11">
        <v>524</v>
      </c>
      <c r="J138" s="11">
        <v>38411</v>
      </c>
    </row>
    <row r="139" spans="1:10" x14ac:dyDescent="0.25">
      <c r="A139" s="12" t="s">
        <v>144</v>
      </c>
      <c r="B139" s="12" t="s">
        <v>150</v>
      </c>
      <c r="C139" s="12" t="s">
        <v>229</v>
      </c>
      <c r="D139" s="12">
        <v>41</v>
      </c>
      <c r="E139" s="12">
        <v>7</v>
      </c>
      <c r="F139" s="12">
        <v>2678</v>
      </c>
      <c r="G139" s="12">
        <v>9176</v>
      </c>
      <c r="H139" s="12">
        <f t="shared" si="4"/>
        <v>990</v>
      </c>
      <c r="I139" s="12">
        <v>551</v>
      </c>
      <c r="J139" s="12">
        <v>13395</v>
      </c>
    </row>
    <row r="140" spans="1:10" x14ac:dyDescent="0.25">
      <c r="A140" s="11" t="s">
        <v>144</v>
      </c>
      <c r="B140" s="11" t="s">
        <v>170</v>
      </c>
      <c r="C140" s="11" t="s">
        <v>230</v>
      </c>
      <c r="D140" s="11">
        <v>60</v>
      </c>
      <c r="E140" s="11">
        <v>13</v>
      </c>
      <c r="F140" s="11">
        <v>17842</v>
      </c>
      <c r="G140" s="11">
        <v>14174</v>
      </c>
      <c r="H140" s="11">
        <f t="shared" si="4"/>
        <v>748</v>
      </c>
      <c r="I140" s="11">
        <v>622</v>
      </c>
      <c r="J140" s="11">
        <v>33386</v>
      </c>
    </row>
    <row r="141" spans="1:10" x14ac:dyDescent="0.25">
      <c r="A141" s="12" t="s">
        <v>144</v>
      </c>
      <c r="B141" s="12" t="s">
        <v>151</v>
      </c>
      <c r="C141" s="12" t="s">
        <v>229</v>
      </c>
      <c r="D141" s="12">
        <v>60</v>
      </c>
      <c r="E141" s="12">
        <v>11</v>
      </c>
      <c r="F141" s="12">
        <v>6481</v>
      </c>
      <c r="G141" s="12">
        <v>12974</v>
      </c>
      <c r="H141" s="12">
        <f t="shared" si="4"/>
        <v>883</v>
      </c>
      <c r="I141" s="12">
        <v>329</v>
      </c>
      <c r="J141" s="12">
        <v>20667</v>
      </c>
    </row>
    <row r="142" spans="1:10" x14ac:dyDescent="0.25">
      <c r="A142" s="11" t="s">
        <v>144</v>
      </c>
      <c r="B142" s="11" t="s">
        <v>169</v>
      </c>
      <c r="C142" s="11" t="s">
        <v>229</v>
      </c>
      <c r="D142" s="11">
        <v>51</v>
      </c>
      <c r="E142" s="11">
        <v>11</v>
      </c>
      <c r="F142" s="11">
        <v>5677</v>
      </c>
      <c r="G142" s="11">
        <v>9914</v>
      </c>
      <c r="H142" s="11">
        <f t="shared" si="4"/>
        <v>449</v>
      </c>
      <c r="I142" s="11">
        <v>275</v>
      </c>
      <c r="J142" s="11">
        <v>16315</v>
      </c>
    </row>
    <row r="143" spans="1:10" x14ac:dyDescent="0.25">
      <c r="A143" s="12" t="s">
        <v>144</v>
      </c>
      <c r="B143" s="12" t="s">
        <v>152</v>
      </c>
      <c r="C143" s="12" t="s">
        <v>229</v>
      </c>
      <c r="D143" s="12">
        <v>51</v>
      </c>
      <c r="E143" s="12">
        <v>10</v>
      </c>
      <c r="F143" s="12">
        <v>4897</v>
      </c>
      <c r="G143" s="12">
        <v>13439</v>
      </c>
      <c r="H143" s="12">
        <f t="shared" si="4"/>
        <v>822</v>
      </c>
      <c r="I143" s="12">
        <v>475</v>
      </c>
      <c r="J143" s="12">
        <v>19633</v>
      </c>
    </row>
    <row r="144" spans="1:10" x14ac:dyDescent="0.25">
      <c r="A144" s="11" t="s">
        <v>144</v>
      </c>
      <c r="B144" s="11" t="s">
        <v>153</v>
      </c>
      <c r="C144" s="11" t="s">
        <v>229</v>
      </c>
      <c r="D144" s="11">
        <v>43</v>
      </c>
      <c r="E144" s="11">
        <v>10</v>
      </c>
      <c r="F144" s="11">
        <v>7164</v>
      </c>
      <c r="G144" s="11">
        <v>9082</v>
      </c>
      <c r="H144" s="11">
        <f t="shared" ref="H144:H175" si="5">J144-I144-G144-F144</f>
        <v>574</v>
      </c>
      <c r="I144" s="11">
        <v>452</v>
      </c>
      <c r="J144" s="11">
        <v>17272</v>
      </c>
    </row>
    <row r="145" spans="1:10" x14ac:dyDescent="0.25">
      <c r="A145" s="12" t="s">
        <v>144</v>
      </c>
      <c r="B145" s="12" t="s">
        <v>154</v>
      </c>
      <c r="C145" s="12" t="s">
        <v>229</v>
      </c>
      <c r="D145" s="12">
        <v>39</v>
      </c>
      <c r="E145" s="12">
        <v>7</v>
      </c>
      <c r="F145" s="12">
        <v>5404</v>
      </c>
      <c r="G145" s="12">
        <v>7157</v>
      </c>
      <c r="H145" s="12">
        <f t="shared" si="5"/>
        <v>679</v>
      </c>
      <c r="I145" s="12">
        <v>335</v>
      </c>
      <c r="J145" s="12">
        <v>13575</v>
      </c>
    </row>
    <row r="146" spans="1:10" x14ac:dyDescent="0.25">
      <c r="A146" s="11" t="s">
        <v>144</v>
      </c>
      <c r="B146" s="11" t="s">
        <v>155</v>
      </c>
      <c r="C146" s="11" t="s">
        <v>229</v>
      </c>
      <c r="D146" s="11">
        <v>34</v>
      </c>
      <c r="E146" s="11">
        <v>6</v>
      </c>
      <c r="F146" s="11">
        <v>4286</v>
      </c>
      <c r="G146" s="11">
        <v>6949</v>
      </c>
      <c r="H146" s="11">
        <f t="shared" si="5"/>
        <v>556</v>
      </c>
      <c r="I146" s="11">
        <v>238</v>
      </c>
      <c r="J146" s="11">
        <v>12029</v>
      </c>
    </row>
    <row r="147" spans="1:10" x14ac:dyDescent="0.25">
      <c r="A147" s="12" t="s">
        <v>144</v>
      </c>
      <c r="B147" s="12" t="s">
        <v>156</v>
      </c>
      <c r="C147" s="12" t="s">
        <v>229</v>
      </c>
      <c r="D147" s="12">
        <v>43</v>
      </c>
      <c r="E147" s="12">
        <v>9</v>
      </c>
      <c r="F147" s="12">
        <v>6522</v>
      </c>
      <c r="G147" s="12">
        <v>7577</v>
      </c>
      <c r="H147" s="12">
        <f t="shared" si="5"/>
        <v>546</v>
      </c>
      <c r="I147" s="12">
        <v>253</v>
      </c>
      <c r="J147" s="12">
        <v>14898</v>
      </c>
    </row>
    <row r="148" spans="1:10" x14ac:dyDescent="0.25">
      <c r="A148" s="11" t="s">
        <v>144</v>
      </c>
      <c r="B148" s="11" t="s">
        <v>157</v>
      </c>
      <c r="C148" s="11" t="s">
        <v>229</v>
      </c>
      <c r="D148" s="11">
        <v>52</v>
      </c>
      <c r="E148" s="11">
        <v>9</v>
      </c>
      <c r="F148" s="11">
        <v>4822</v>
      </c>
      <c r="G148" s="11">
        <v>12747</v>
      </c>
      <c r="H148" s="11">
        <f t="shared" si="5"/>
        <v>597</v>
      </c>
      <c r="I148" s="11">
        <v>346</v>
      </c>
      <c r="J148" s="11">
        <v>18512</v>
      </c>
    </row>
    <row r="149" spans="1:10" x14ac:dyDescent="0.25">
      <c r="A149" s="12" t="s">
        <v>144</v>
      </c>
      <c r="B149" s="12" t="s">
        <v>158</v>
      </c>
      <c r="C149" s="12" t="s">
        <v>229</v>
      </c>
      <c r="D149" s="12">
        <v>44</v>
      </c>
      <c r="E149" s="12">
        <v>9</v>
      </c>
      <c r="F149" s="12">
        <v>5921</v>
      </c>
      <c r="G149" s="12">
        <v>8525</v>
      </c>
      <c r="H149" s="12">
        <f t="shared" si="5"/>
        <v>826</v>
      </c>
      <c r="I149" s="12">
        <v>241</v>
      </c>
      <c r="J149" s="12">
        <v>15513</v>
      </c>
    </row>
    <row r="150" spans="1:10" x14ac:dyDescent="0.25">
      <c r="A150" s="11" t="s">
        <v>144</v>
      </c>
      <c r="B150" s="11" t="s">
        <v>159</v>
      </c>
      <c r="C150" s="11" t="s">
        <v>229</v>
      </c>
      <c r="D150" s="11">
        <v>64</v>
      </c>
      <c r="E150" s="11">
        <v>9</v>
      </c>
      <c r="F150" s="11">
        <v>6022</v>
      </c>
      <c r="G150" s="11">
        <v>12690</v>
      </c>
      <c r="H150" s="11">
        <f t="shared" si="5"/>
        <v>566</v>
      </c>
      <c r="I150" s="11">
        <v>261</v>
      </c>
      <c r="J150" s="11">
        <v>19539</v>
      </c>
    </row>
    <row r="151" spans="1:10" x14ac:dyDescent="0.25">
      <c r="A151" s="12" t="s">
        <v>144</v>
      </c>
      <c r="B151" s="12" t="s">
        <v>160</v>
      </c>
      <c r="C151" s="12" t="s">
        <v>229</v>
      </c>
      <c r="D151" s="12">
        <v>37</v>
      </c>
      <c r="E151" s="12">
        <v>8</v>
      </c>
      <c r="F151" s="12">
        <v>5507</v>
      </c>
      <c r="G151" s="12">
        <v>10652</v>
      </c>
      <c r="H151" s="12">
        <f t="shared" si="5"/>
        <v>933</v>
      </c>
      <c r="I151" s="12">
        <v>308</v>
      </c>
      <c r="J151" s="12">
        <v>17400</v>
      </c>
    </row>
    <row r="152" spans="1:10" x14ac:dyDescent="0.25">
      <c r="A152" s="11" t="s">
        <v>144</v>
      </c>
      <c r="B152" s="11" t="s">
        <v>161</v>
      </c>
      <c r="C152" s="11" t="s">
        <v>231</v>
      </c>
      <c r="D152" s="11">
        <v>63</v>
      </c>
      <c r="E152" s="11">
        <v>10</v>
      </c>
      <c r="F152" s="11">
        <v>23073</v>
      </c>
      <c r="G152" s="11">
        <v>11713</v>
      </c>
      <c r="H152" s="11">
        <f t="shared" si="5"/>
        <v>424</v>
      </c>
      <c r="I152" s="11">
        <v>225</v>
      </c>
      <c r="J152" s="11">
        <v>35435</v>
      </c>
    </row>
    <row r="153" spans="1:10" x14ac:dyDescent="0.25">
      <c r="A153" s="12" t="s">
        <v>144</v>
      </c>
      <c r="B153" s="12" t="s">
        <v>162</v>
      </c>
      <c r="C153" s="12" t="s">
        <v>229</v>
      </c>
      <c r="D153" s="12">
        <v>46</v>
      </c>
      <c r="E153" s="12">
        <v>8</v>
      </c>
      <c r="F153" s="12">
        <v>6661</v>
      </c>
      <c r="G153" s="12">
        <v>9217</v>
      </c>
      <c r="H153" s="12">
        <f t="shared" si="5"/>
        <v>459</v>
      </c>
      <c r="I153" s="12">
        <v>213</v>
      </c>
      <c r="J153" s="12">
        <v>16550</v>
      </c>
    </row>
    <row r="154" spans="1:10" x14ac:dyDescent="0.25">
      <c r="A154" s="11" t="s">
        <v>144</v>
      </c>
      <c r="B154" s="11" t="s">
        <v>163</v>
      </c>
      <c r="C154" s="11" t="s">
        <v>229</v>
      </c>
      <c r="D154" s="11">
        <v>65</v>
      </c>
      <c r="E154" s="11">
        <v>8</v>
      </c>
      <c r="F154" s="11">
        <v>4604</v>
      </c>
      <c r="G154" s="11">
        <v>21553</v>
      </c>
      <c r="H154" s="11">
        <f t="shared" si="5"/>
        <v>1095</v>
      </c>
      <c r="I154" s="11">
        <v>641</v>
      </c>
      <c r="J154" s="11">
        <v>27893</v>
      </c>
    </row>
    <row r="155" spans="1:10" x14ac:dyDescent="0.25">
      <c r="A155" s="12" t="s">
        <v>144</v>
      </c>
      <c r="B155" s="12" t="s">
        <v>164</v>
      </c>
      <c r="C155" s="12" t="s">
        <v>229</v>
      </c>
      <c r="D155" s="12">
        <v>61</v>
      </c>
      <c r="E155" s="12">
        <v>9</v>
      </c>
      <c r="F155" s="12">
        <v>1627</v>
      </c>
      <c r="G155" s="12">
        <v>26475</v>
      </c>
      <c r="H155" s="12">
        <f t="shared" si="5"/>
        <v>821</v>
      </c>
      <c r="I155" s="12">
        <v>645</v>
      </c>
      <c r="J155" s="12">
        <v>29568</v>
      </c>
    </row>
    <row r="156" spans="1:10" x14ac:dyDescent="0.25">
      <c r="A156" s="11" t="s">
        <v>144</v>
      </c>
      <c r="B156" s="11" t="s">
        <v>165</v>
      </c>
      <c r="C156" s="11" t="s">
        <v>229</v>
      </c>
      <c r="D156" s="11">
        <v>47</v>
      </c>
      <c r="E156" s="11">
        <v>8</v>
      </c>
      <c r="F156" s="11">
        <v>7143</v>
      </c>
      <c r="G156" s="11">
        <v>11320</v>
      </c>
      <c r="H156" s="11">
        <f t="shared" si="5"/>
        <v>760</v>
      </c>
      <c r="I156" s="11">
        <v>411</v>
      </c>
      <c r="J156" s="11">
        <v>19634</v>
      </c>
    </row>
    <row r="157" spans="1:10" x14ac:dyDescent="0.25">
      <c r="A157" s="12" t="s">
        <v>144</v>
      </c>
      <c r="B157" s="12" t="s">
        <v>166</v>
      </c>
      <c r="C157" s="12" t="s">
        <v>229</v>
      </c>
      <c r="D157" s="12">
        <v>38</v>
      </c>
      <c r="E157" s="12">
        <v>7</v>
      </c>
      <c r="F157" s="12">
        <v>3549</v>
      </c>
      <c r="G157" s="12">
        <v>8945</v>
      </c>
      <c r="H157" s="12">
        <f t="shared" si="5"/>
        <v>616</v>
      </c>
      <c r="I157" s="12">
        <v>336</v>
      </c>
      <c r="J157" s="12">
        <v>13446</v>
      </c>
    </row>
    <row r="158" spans="1:10" x14ac:dyDescent="0.25">
      <c r="A158" s="11" t="s">
        <v>144</v>
      </c>
      <c r="B158" s="11" t="s">
        <v>168</v>
      </c>
      <c r="C158" s="11" t="s">
        <v>229</v>
      </c>
      <c r="D158" s="11">
        <v>49</v>
      </c>
      <c r="E158" s="11">
        <v>10</v>
      </c>
      <c r="F158" s="11">
        <v>6360</v>
      </c>
      <c r="G158" s="11">
        <v>11233</v>
      </c>
      <c r="H158" s="11">
        <f t="shared" si="5"/>
        <v>805</v>
      </c>
      <c r="I158" s="11">
        <v>424</v>
      </c>
      <c r="J158" s="11">
        <v>18822</v>
      </c>
    </row>
    <row r="159" spans="1:10" x14ac:dyDescent="0.25">
      <c r="A159" s="12" t="s">
        <v>144</v>
      </c>
      <c r="B159" s="12" t="s">
        <v>167</v>
      </c>
      <c r="C159" s="12" t="s">
        <v>229</v>
      </c>
      <c r="D159" s="12">
        <v>33</v>
      </c>
      <c r="E159" s="12">
        <v>8</v>
      </c>
      <c r="F159" s="12">
        <v>4096</v>
      </c>
      <c r="G159" s="12">
        <v>8062</v>
      </c>
      <c r="H159" s="12">
        <f t="shared" si="5"/>
        <v>645</v>
      </c>
      <c r="I159" s="12">
        <v>390</v>
      </c>
      <c r="J159" s="12">
        <v>13193</v>
      </c>
    </row>
    <row r="160" spans="1:10" x14ac:dyDescent="0.25">
      <c r="A160" s="11" t="s">
        <v>171</v>
      </c>
      <c r="B160" s="11" t="s">
        <v>172</v>
      </c>
      <c r="C160" s="11" t="s">
        <v>229</v>
      </c>
      <c r="D160" s="11">
        <v>69</v>
      </c>
      <c r="E160" s="11">
        <v>15</v>
      </c>
      <c r="F160" s="11">
        <v>19034</v>
      </c>
      <c r="G160" s="11">
        <v>6946</v>
      </c>
      <c r="H160" s="11">
        <f t="shared" si="5"/>
        <v>1706</v>
      </c>
      <c r="I160" s="11">
        <v>1003</v>
      </c>
      <c r="J160" s="11">
        <v>28689</v>
      </c>
    </row>
    <row r="161" spans="1:10" x14ac:dyDescent="0.25">
      <c r="A161" s="12" t="s">
        <v>171</v>
      </c>
      <c r="B161" s="12" t="s">
        <v>173</v>
      </c>
      <c r="C161" s="12" t="s">
        <v>229</v>
      </c>
      <c r="D161" s="12">
        <v>69</v>
      </c>
      <c r="E161" s="12">
        <v>9</v>
      </c>
      <c r="F161" s="12">
        <v>17799</v>
      </c>
      <c r="G161" s="12">
        <v>7176</v>
      </c>
      <c r="H161" s="12">
        <f t="shared" si="5"/>
        <v>1953</v>
      </c>
      <c r="I161" s="12">
        <v>1032</v>
      </c>
      <c r="J161" s="12">
        <v>27960</v>
      </c>
    </row>
    <row r="162" spans="1:10" x14ac:dyDescent="0.25">
      <c r="A162" s="11" t="s">
        <v>171</v>
      </c>
      <c r="B162" s="11" t="s">
        <v>174</v>
      </c>
      <c r="C162" s="11" t="s">
        <v>229</v>
      </c>
      <c r="D162" s="11">
        <v>96</v>
      </c>
      <c r="E162" s="11">
        <v>27</v>
      </c>
      <c r="F162" s="11">
        <v>6966</v>
      </c>
      <c r="G162" s="11">
        <v>16892</v>
      </c>
      <c r="H162" s="11">
        <f t="shared" si="5"/>
        <v>3117</v>
      </c>
      <c r="I162" s="11">
        <v>605</v>
      </c>
      <c r="J162" s="11">
        <v>27580</v>
      </c>
    </row>
    <row r="163" spans="1:10" x14ac:dyDescent="0.25">
      <c r="A163" s="12" t="s">
        <v>171</v>
      </c>
      <c r="B163" s="12" t="s">
        <v>175</v>
      </c>
      <c r="C163" s="12" t="s">
        <v>230</v>
      </c>
      <c r="D163" s="12">
        <v>52</v>
      </c>
      <c r="E163" s="12">
        <v>17</v>
      </c>
      <c r="F163" s="12">
        <v>18475</v>
      </c>
      <c r="G163" s="12">
        <v>3930</v>
      </c>
      <c r="H163" s="12">
        <f t="shared" si="5"/>
        <v>704</v>
      </c>
      <c r="I163" s="12">
        <v>343</v>
      </c>
      <c r="J163" s="12">
        <v>23452</v>
      </c>
    </row>
    <row r="164" spans="1:10" x14ac:dyDescent="0.25">
      <c r="A164" s="11" t="s">
        <v>171</v>
      </c>
      <c r="B164" s="11" t="s">
        <v>176</v>
      </c>
      <c r="C164" s="11" t="s">
        <v>229</v>
      </c>
      <c r="D164" s="11">
        <v>60</v>
      </c>
      <c r="E164" s="11">
        <v>12</v>
      </c>
      <c r="F164" s="11">
        <v>12907</v>
      </c>
      <c r="G164" s="11">
        <v>5291</v>
      </c>
      <c r="H164" s="11">
        <f t="shared" si="5"/>
        <v>1101</v>
      </c>
      <c r="I164" s="11">
        <v>405</v>
      </c>
      <c r="J164" s="11">
        <v>19704</v>
      </c>
    </row>
    <row r="165" spans="1:10" x14ac:dyDescent="0.25">
      <c r="A165" s="12" t="s">
        <v>171</v>
      </c>
      <c r="B165" s="12" t="s">
        <v>177</v>
      </c>
      <c r="C165" s="12" t="s">
        <v>230</v>
      </c>
      <c r="D165" s="12">
        <v>62</v>
      </c>
      <c r="E165" s="12">
        <v>17</v>
      </c>
      <c r="F165" s="12">
        <v>17526</v>
      </c>
      <c r="G165" s="12">
        <v>8320</v>
      </c>
      <c r="H165" s="12">
        <f t="shared" si="5"/>
        <v>1299</v>
      </c>
      <c r="I165" s="12">
        <v>366</v>
      </c>
      <c r="J165" s="12">
        <v>27511</v>
      </c>
    </row>
    <row r="166" spans="1:10" x14ac:dyDescent="0.25">
      <c r="A166" s="11" t="s">
        <v>171</v>
      </c>
      <c r="B166" s="11" t="s">
        <v>178</v>
      </c>
      <c r="C166" s="11" t="s">
        <v>229</v>
      </c>
      <c r="D166" s="11">
        <v>62</v>
      </c>
      <c r="E166" s="11">
        <v>14</v>
      </c>
      <c r="F166" s="11">
        <v>6608</v>
      </c>
      <c r="G166" s="11">
        <v>8415</v>
      </c>
      <c r="H166" s="11">
        <f t="shared" si="5"/>
        <v>1546</v>
      </c>
      <c r="I166" s="11">
        <v>425</v>
      </c>
      <c r="J166" s="11">
        <v>16994</v>
      </c>
    </row>
    <row r="167" spans="1:10" x14ac:dyDescent="0.25">
      <c r="A167" s="12" t="s">
        <v>171</v>
      </c>
      <c r="B167" s="12" t="s">
        <v>179</v>
      </c>
      <c r="C167" s="12" t="s">
        <v>229</v>
      </c>
      <c r="D167" s="12">
        <v>63</v>
      </c>
      <c r="E167" s="12">
        <v>14</v>
      </c>
      <c r="F167" s="12">
        <v>6586</v>
      </c>
      <c r="G167" s="12">
        <v>6439</v>
      </c>
      <c r="H167" s="12">
        <f t="shared" si="5"/>
        <v>1070</v>
      </c>
      <c r="I167" s="12">
        <v>354</v>
      </c>
      <c r="J167" s="12">
        <v>14449</v>
      </c>
    </row>
    <row r="168" spans="1:10" x14ac:dyDescent="0.25">
      <c r="A168" s="11" t="s">
        <v>171</v>
      </c>
      <c r="B168" s="11" t="s">
        <v>180</v>
      </c>
      <c r="C168" s="11" t="s">
        <v>229</v>
      </c>
      <c r="D168" s="11">
        <v>55</v>
      </c>
      <c r="E168" s="11">
        <v>14</v>
      </c>
      <c r="F168" s="11">
        <v>3989</v>
      </c>
      <c r="G168" s="11">
        <v>8955</v>
      </c>
      <c r="H168" s="11">
        <f t="shared" si="5"/>
        <v>4421</v>
      </c>
      <c r="I168" s="11">
        <v>499</v>
      </c>
      <c r="J168" s="11">
        <v>17864</v>
      </c>
    </row>
    <row r="169" spans="1:10" x14ac:dyDescent="0.25">
      <c r="A169" s="12" t="s">
        <v>171</v>
      </c>
      <c r="B169" s="12" t="s">
        <v>181</v>
      </c>
      <c r="C169" s="12" t="s">
        <v>229</v>
      </c>
      <c r="D169" s="12">
        <v>62</v>
      </c>
      <c r="E169" s="12">
        <v>16</v>
      </c>
      <c r="F169" s="12">
        <v>7389</v>
      </c>
      <c r="G169" s="12">
        <v>7471</v>
      </c>
      <c r="H169" s="12">
        <f t="shared" si="5"/>
        <v>4296</v>
      </c>
      <c r="I169" s="12">
        <v>701</v>
      </c>
      <c r="J169" s="12">
        <v>19857</v>
      </c>
    </row>
    <row r="170" spans="1:10" x14ac:dyDescent="0.25">
      <c r="A170" s="11" t="s">
        <v>171</v>
      </c>
      <c r="B170" s="11" t="s">
        <v>182</v>
      </c>
      <c r="C170" s="11" t="s">
        <v>229</v>
      </c>
      <c r="D170" s="11">
        <v>76</v>
      </c>
      <c r="E170" s="11">
        <v>10</v>
      </c>
      <c r="F170" s="11">
        <v>5580</v>
      </c>
      <c r="G170" s="11">
        <v>7148</v>
      </c>
      <c r="H170" s="11">
        <f t="shared" si="5"/>
        <v>1159</v>
      </c>
      <c r="I170" s="11">
        <v>224</v>
      </c>
      <c r="J170" s="11">
        <v>14111</v>
      </c>
    </row>
    <row r="171" spans="1:10" x14ac:dyDescent="0.25">
      <c r="A171" s="12" t="s">
        <v>171</v>
      </c>
      <c r="B171" s="12" t="s">
        <v>183</v>
      </c>
      <c r="C171" s="12" t="s">
        <v>229</v>
      </c>
      <c r="D171" s="12">
        <v>67</v>
      </c>
      <c r="E171" s="12">
        <v>12</v>
      </c>
      <c r="F171" s="12">
        <v>5102</v>
      </c>
      <c r="G171" s="12">
        <v>8671</v>
      </c>
      <c r="H171" s="12">
        <f t="shared" si="5"/>
        <v>1567</v>
      </c>
      <c r="I171" s="12">
        <v>310</v>
      </c>
      <c r="J171" s="12">
        <v>15650</v>
      </c>
    </row>
    <row r="172" spans="1:10" x14ac:dyDescent="0.25">
      <c r="A172" s="11" t="s">
        <v>171</v>
      </c>
      <c r="B172" s="11" t="s">
        <v>184</v>
      </c>
      <c r="C172" s="11" t="s">
        <v>229</v>
      </c>
      <c r="D172" s="11">
        <v>84</v>
      </c>
      <c r="E172" s="11">
        <v>15</v>
      </c>
      <c r="F172" s="11">
        <v>9650</v>
      </c>
      <c r="G172" s="11">
        <v>15798</v>
      </c>
      <c r="H172" s="11">
        <f t="shared" si="5"/>
        <v>1341</v>
      </c>
      <c r="I172" s="11">
        <v>505</v>
      </c>
      <c r="J172" s="11">
        <v>27294</v>
      </c>
    </row>
    <row r="173" spans="1:10" x14ac:dyDescent="0.25">
      <c r="A173" s="12" t="s">
        <v>185</v>
      </c>
      <c r="B173" s="12" t="s">
        <v>186</v>
      </c>
      <c r="C173" s="12" t="s">
        <v>230</v>
      </c>
      <c r="D173" s="12">
        <v>59</v>
      </c>
      <c r="E173" s="12">
        <v>13</v>
      </c>
      <c r="F173" s="12">
        <v>13160</v>
      </c>
      <c r="G173" s="12">
        <v>13042</v>
      </c>
      <c r="H173" s="12">
        <f t="shared" si="5"/>
        <v>1178</v>
      </c>
      <c r="I173" s="12">
        <v>492</v>
      </c>
      <c r="J173" s="12">
        <v>27872</v>
      </c>
    </row>
    <row r="174" spans="1:10" x14ac:dyDescent="0.25">
      <c r="A174" s="11" t="s">
        <v>185</v>
      </c>
      <c r="B174" s="11" t="s">
        <v>187</v>
      </c>
      <c r="C174" s="11" t="s">
        <v>229</v>
      </c>
      <c r="D174" s="11">
        <v>47</v>
      </c>
      <c r="E174" s="11">
        <v>8</v>
      </c>
      <c r="F174" s="11">
        <v>3597</v>
      </c>
      <c r="G174" s="11">
        <v>8049</v>
      </c>
      <c r="H174" s="11">
        <f t="shared" si="5"/>
        <v>1257</v>
      </c>
      <c r="I174" s="11">
        <v>386</v>
      </c>
      <c r="J174" s="11">
        <v>13289</v>
      </c>
    </row>
    <row r="175" spans="1:10" x14ac:dyDescent="0.25">
      <c r="A175" s="12" t="s">
        <v>185</v>
      </c>
      <c r="B175" s="12" t="s">
        <v>188</v>
      </c>
      <c r="C175" s="12" t="s">
        <v>230</v>
      </c>
      <c r="D175" s="12">
        <v>56</v>
      </c>
      <c r="E175" s="12">
        <v>17</v>
      </c>
      <c r="F175" s="12">
        <v>5798</v>
      </c>
      <c r="G175" s="12">
        <v>7960</v>
      </c>
      <c r="H175" s="12">
        <f t="shared" si="5"/>
        <v>818</v>
      </c>
      <c r="I175" s="12">
        <v>266</v>
      </c>
      <c r="J175" s="12">
        <v>14842</v>
      </c>
    </row>
    <row r="176" spans="1:10" x14ac:dyDescent="0.25">
      <c r="A176" s="11" t="s">
        <v>185</v>
      </c>
      <c r="B176" s="11" t="s">
        <v>189</v>
      </c>
      <c r="C176" s="11" t="s">
        <v>229</v>
      </c>
      <c r="D176" s="11">
        <v>53</v>
      </c>
      <c r="E176" s="11">
        <v>13</v>
      </c>
      <c r="F176" s="11">
        <v>4278</v>
      </c>
      <c r="G176" s="11">
        <v>7071</v>
      </c>
      <c r="H176" s="11">
        <f t="shared" ref="H176:H207" si="6">J176-I176-G176-F176</f>
        <v>1385</v>
      </c>
      <c r="I176" s="11">
        <v>289</v>
      </c>
      <c r="J176" s="11">
        <v>13023</v>
      </c>
    </row>
    <row r="177" spans="1:10" x14ac:dyDescent="0.25">
      <c r="A177" s="12" t="s">
        <v>185</v>
      </c>
      <c r="B177" s="12" t="s">
        <v>190</v>
      </c>
      <c r="C177" s="12" t="s">
        <v>230</v>
      </c>
      <c r="D177" s="12">
        <v>60</v>
      </c>
      <c r="E177" s="12">
        <v>14</v>
      </c>
      <c r="F177" s="12">
        <v>12833</v>
      </c>
      <c r="G177" s="12">
        <v>8909</v>
      </c>
      <c r="H177" s="12">
        <f t="shared" si="6"/>
        <v>880</v>
      </c>
      <c r="I177" s="12">
        <v>254</v>
      </c>
      <c r="J177" s="12">
        <v>22876</v>
      </c>
    </row>
    <row r="178" spans="1:10" x14ac:dyDescent="0.25">
      <c r="A178" s="11" t="s">
        <v>185</v>
      </c>
      <c r="B178" s="11" t="s">
        <v>191</v>
      </c>
      <c r="C178" s="11" t="s">
        <v>229</v>
      </c>
      <c r="D178" s="11">
        <v>47</v>
      </c>
      <c r="E178" s="11">
        <v>11</v>
      </c>
      <c r="F178" s="11">
        <v>6968</v>
      </c>
      <c r="G178" s="11">
        <v>5118</v>
      </c>
      <c r="H178" s="11">
        <f t="shared" si="6"/>
        <v>1130</v>
      </c>
      <c r="I178" s="11">
        <v>301</v>
      </c>
      <c r="J178" s="11">
        <v>13517</v>
      </c>
    </row>
    <row r="179" spans="1:10" x14ac:dyDescent="0.25">
      <c r="A179" s="12" t="s">
        <v>185</v>
      </c>
      <c r="B179" s="12" t="s">
        <v>192</v>
      </c>
      <c r="C179" s="12" t="s">
        <v>229</v>
      </c>
      <c r="D179" s="12">
        <v>33</v>
      </c>
      <c r="E179" s="12">
        <v>8</v>
      </c>
      <c r="F179" s="12">
        <v>4827</v>
      </c>
      <c r="G179" s="12">
        <v>6281</v>
      </c>
      <c r="H179" s="12">
        <f t="shared" si="6"/>
        <v>964</v>
      </c>
      <c r="I179" s="12">
        <v>212</v>
      </c>
      <c r="J179" s="12">
        <v>12284</v>
      </c>
    </row>
    <row r="180" spans="1:10" x14ac:dyDescent="0.25">
      <c r="A180" s="11" t="s">
        <v>185</v>
      </c>
      <c r="B180" s="11" t="s">
        <v>193</v>
      </c>
      <c r="C180" s="11" t="s">
        <v>229</v>
      </c>
      <c r="D180" s="11">
        <v>67</v>
      </c>
      <c r="E180" s="11">
        <v>12</v>
      </c>
      <c r="F180" s="11">
        <v>6534</v>
      </c>
      <c r="G180" s="11">
        <v>13194</v>
      </c>
      <c r="H180" s="11">
        <f t="shared" si="6"/>
        <v>1163</v>
      </c>
      <c r="I180" s="11">
        <v>345</v>
      </c>
      <c r="J180" s="11">
        <v>21236</v>
      </c>
    </row>
    <row r="181" spans="1:10" x14ac:dyDescent="0.25">
      <c r="A181" s="12" t="s">
        <v>185</v>
      </c>
      <c r="B181" s="12" t="s">
        <v>194</v>
      </c>
      <c r="C181" s="12" t="s">
        <v>229</v>
      </c>
      <c r="D181" s="12">
        <v>37</v>
      </c>
      <c r="E181" s="12">
        <v>11</v>
      </c>
      <c r="F181" s="12">
        <v>5242</v>
      </c>
      <c r="G181" s="12">
        <v>5822</v>
      </c>
      <c r="H181" s="12">
        <f t="shared" si="6"/>
        <v>1010</v>
      </c>
      <c r="I181" s="12">
        <v>168</v>
      </c>
      <c r="J181" s="12">
        <v>12242</v>
      </c>
    </row>
    <row r="182" spans="1:10" x14ac:dyDescent="0.25">
      <c r="A182" s="11" t="s">
        <v>185</v>
      </c>
      <c r="B182" s="11" t="s">
        <v>195</v>
      </c>
      <c r="C182" s="11" t="s">
        <v>229</v>
      </c>
      <c r="D182" s="11">
        <v>54</v>
      </c>
      <c r="E182" s="11">
        <v>15</v>
      </c>
      <c r="F182" s="11">
        <v>6124</v>
      </c>
      <c r="G182" s="11">
        <v>7390</v>
      </c>
      <c r="H182" s="11">
        <f t="shared" si="6"/>
        <v>1514</v>
      </c>
      <c r="I182" s="11">
        <v>351</v>
      </c>
      <c r="J182" s="11">
        <v>15379</v>
      </c>
    </row>
    <row r="183" spans="1:10" x14ac:dyDescent="0.25">
      <c r="A183" s="12" t="s">
        <v>185</v>
      </c>
      <c r="B183" s="12" t="s">
        <v>196</v>
      </c>
      <c r="C183" s="12" t="s">
        <v>229</v>
      </c>
      <c r="D183" s="12">
        <v>45</v>
      </c>
      <c r="E183" s="12">
        <v>15</v>
      </c>
      <c r="F183" s="12">
        <v>6348</v>
      </c>
      <c r="G183" s="12">
        <v>7982</v>
      </c>
      <c r="H183" s="12">
        <f t="shared" si="6"/>
        <v>1252</v>
      </c>
      <c r="I183" s="12">
        <v>312</v>
      </c>
      <c r="J183" s="12">
        <v>15894</v>
      </c>
    </row>
    <row r="184" spans="1:10" x14ac:dyDescent="0.25">
      <c r="A184" s="11" t="s">
        <v>185</v>
      </c>
      <c r="B184" s="11" t="s">
        <v>197</v>
      </c>
      <c r="C184" s="11" t="s">
        <v>229</v>
      </c>
      <c r="D184" s="11">
        <v>28</v>
      </c>
      <c r="E184" s="11">
        <v>10</v>
      </c>
      <c r="F184" s="11">
        <v>5099</v>
      </c>
      <c r="G184" s="11">
        <v>6187</v>
      </c>
      <c r="H184" s="11">
        <f t="shared" si="6"/>
        <v>1167</v>
      </c>
      <c r="I184" s="11">
        <v>219</v>
      </c>
      <c r="J184" s="11">
        <v>12672</v>
      </c>
    </row>
    <row r="185" spans="1:10" x14ac:dyDescent="0.25">
      <c r="A185" s="12" t="s">
        <v>185</v>
      </c>
      <c r="B185" s="12" t="s">
        <v>198</v>
      </c>
      <c r="C185" s="12" t="s">
        <v>229</v>
      </c>
      <c r="D185" s="12">
        <v>77</v>
      </c>
      <c r="E185" s="12">
        <v>19</v>
      </c>
      <c r="F185" s="12">
        <v>9484</v>
      </c>
      <c r="G185" s="12">
        <v>10273</v>
      </c>
      <c r="H185" s="12">
        <f t="shared" si="6"/>
        <v>1229</v>
      </c>
      <c r="I185" s="12">
        <v>485</v>
      </c>
      <c r="J185" s="12">
        <v>21471</v>
      </c>
    </row>
    <row r="186" spans="1:10" x14ac:dyDescent="0.25">
      <c r="A186" s="11" t="s">
        <v>199</v>
      </c>
      <c r="B186" s="11" t="s">
        <v>200</v>
      </c>
      <c r="C186" s="11" t="s">
        <v>229</v>
      </c>
      <c r="D186" s="11">
        <v>62</v>
      </c>
      <c r="E186" s="11">
        <v>13</v>
      </c>
      <c r="F186" s="11">
        <v>6100</v>
      </c>
      <c r="G186" s="11">
        <v>9680</v>
      </c>
      <c r="H186" s="11">
        <f t="shared" si="6"/>
        <v>532</v>
      </c>
      <c r="I186" s="11">
        <v>233</v>
      </c>
      <c r="J186" s="11">
        <v>16545</v>
      </c>
    </row>
    <row r="187" spans="1:10" x14ac:dyDescent="0.25">
      <c r="A187" s="12" t="s">
        <v>199</v>
      </c>
      <c r="B187" s="12" t="s">
        <v>201</v>
      </c>
      <c r="C187" s="12" t="s">
        <v>229</v>
      </c>
      <c r="D187" s="12">
        <v>86</v>
      </c>
      <c r="E187" s="12">
        <v>15</v>
      </c>
      <c r="F187" s="12">
        <v>7107</v>
      </c>
      <c r="G187" s="12">
        <v>19862</v>
      </c>
      <c r="H187" s="12">
        <f t="shared" si="6"/>
        <v>516</v>
      </c>
      <c r="I187" s="12">
        <v>418</v>
      </c>
      <c r="J187" s="12">
        <v>27903</v>
      </c>
    </row>
    <row r="188" spans="1:10" x14ac:dyDescent="0.25">
      <c r="A188" s="11" t="s">
        <v>199</v>
      </c>
      <c r="B188" s="11" t="s">
        <v>227</v>
      </c>
      <c r="C188" s="11" t="s">
        <v>229</v>
      </c>
      <c r="D188" s="11">
        <v>49</v>
      </c>
      <c r="E188" s="11">
        <v>9</v>
      </c>
      <c r="F188" s="11">
        <v>3767</v>
      </c>
      <c r="G188" s="11">
        <v>19375</v>
      </c>
      <c r="H188" s="11">
        <f t="shared" si="6"/>
        <v>735</v>
      </c>
      <c r="I188" s="11">
        <v>557</v>
      </c>
      <c r="J188" s="11">
        <v>24434</v>
      </c>
    </row>
    <row r="189" spans="1:10" x14ac:dyDescent="0.25">
      <c r="A189" s="12" t="s">
        <v>199</v>
      </c>
      <c r="B189" s="12" t="s">
        <v>202</v>
      </c>
      <c r="C189" s="12" t="s">
        <v>229</v>
      </c>
      <c r="D189" s="12">
        <v>50</v>
      </c>
      <c r="E189" s="12">
        <v>9</v>
      </c>
      <c r="F189" s="12">
        <v>2890</v>
      </c>
      <c r="G189" s="12">
        <v>15107</v>
      </c>
      <c r="H189" s="12">
        <f t="shared" si="6"/>
        <v>560</v>
      </c>
      <c r="I189" s="12">
        <v>361</v>
      </c>
      <c r="J189" s="12">
        <v>18918</v>
      </c>
    </row>
    <row r="190" spans="1:10" x14ac:dyDescent="0.25">
      <c r="A190" s="11" t="s">
        <v>199</v>
      </c>
      <c r="B190" s="11" t="s">
        <v>203</v>
      </c>
      <c r="C190" s="11" t="s">
        <v>229</v>
      </c>
      <c r="D190" s="11">
        <v>53</v>
      </c>
      <c r="E190" s="11">
        <v>9</v>
      </c>
      <c r="F190" s="11">
        <v>7826</v>
      </c>
      <c r="G190" s="11">
        <v>15222</v>
      </c>
      <c r="H190" s="11">
        <f t="shared" si="6"/>
        <v>1224</v>
      </c>
      <c r="I190" s="11">
        <v>729</v>
      </c>
      <c r="J190" s="11">
        <v>25001</v>
      </c>
    </row>
    <row r="191" spans="1:10" x14ac:dyDescent="0.25">
      <c r="A191" s="12" t="s">
        <v>199</v>
      </c>
      <c r="B191" s="12" t="s">
        <v>204</v>
      </c>
      <c r="C191" s="12" t="s">
        <v>229</v>
      </c>
      <c r="D191" s="12">
        <v>53</v>
      </c>
      <c r="E191" s="12">
        <v>9</v>
      </c>
      <c r="F191" s="12">
        <v>7635</v>
      </c>
      <c r="G191" s="12">
        <v>13124</v>
      </c>
      <c r="H191" s="12">
        <f t="shared" si="6"/>
        <v>599</v>
      </c>
      <c r="I191" s="12">
        <v>425</v>
      </c>
      <c r="J191" s="12">
        <v>21783</v>
      </c>
    </row>
    <row r="192" spans="1:10" x14ac:dyDescent="0.25">
      <c r="A192" s="11" t="s">
        <v>199</v>
      </c>
      <c r="B192" s="11" t="s">
        <v>205</v>
      </c>
      <c r="C192" s="11" t="s">
        <v>230</v>
      </c>
      <c r="D192" s="11">
        <v>57</v>
      </c>
      <c r="E192" s="11">
        <v>10</v>
      </c>
      <c r="F192" s="11">
        <v>11588</v>
      </c>
      <c r="G192" s="11">
        <v>11263</v>
      </c>
      <c r="H192" s="11">
        <f t="shared" si="6"/>
        <v>1135</v>
      </c>
      <c r="I192" s="11">
        <v>446</v>
      </c>
      <c r="J192" s="11">
        <v>24432</v>
      </c>
    </row>
    <row r="193" spans="1:10" x14ac:dyDescent="0.25">
      <c r="A193" s="12" t="s">
        <v>199</v>
      </c>
      <c r="B193" s="12" t="s">
        <v>206</v>
      </c>
      <c r="C193" s="12" t="s">
        <v>229</v>
      </c>
      <c r="D193" s="12">
        <v>48</v>
      </c>
      <c r="E193" s="12">
        <v>8</v>
      </c>
      <c r="F193" s="12">
        <v>5978</v>
      </c>
      <c r="G193" s="12">
        <v>12032</v>
      </c>
      <c r="H193" s="12">
        <f t="shared" si="6"/>
        <v>1139</v>
      </c>
      <c r="I193" s="12">
        <v>813</v>
      </c>
      <c r="J193" s="12">
        <v>19962</v>
      </c>
    </row>
    <row r="194" spans="1:10" x14ac:dyDescent="0.25">
      <c r="A194" s="11" t="s">
        <v>199</v>
      </c>
      <c r="B194" s="11" t="s">
        <v>207</v>
      </c>
      <c r="C194" s="11" t="s">
        <v>229</v>
      </c>
      <c r="D194" s="11">
        <v>50</v>
      </c>
      <c r="E194" s="11">
        <v>7</v>
      </c>
      <c r="F194" s="11">
        <v>8483</v>
      </c>
      <c r="G194" s="11">
        <v>15686</v>
      </c>
      <c r="H194" s="11">
        <f t="shared" si="6"/>
        <v>1338</v>
      </c>
      <c r="I194" s="11">
        <v>548</v>
      </c>
      <c r="J194" s="11">
        <v>26055</v>
      </c>
    </row>
    <row r="195" spans="1:10" x14ac:dyDescent="0.25">
      <c r="A195" s="12" t="s">
        <v>199</v>
      </c>
      <c r="B195" s="12" t="s">
        <v>208</v>
      </c>
      <c r="C195" s="12" t="s">
        <v>229</v>
      </c>
      <c r="D195" s="12">
        <v>52</v>
      </c>
      <c r="E195" s="12">
        <v>7</v>
      </c>
      <c r="F195" s="12">
        <v>8851</v>
      </c>
      <c r="G195" s="12">
        <v>13890</v>
      </c>
      <c r="H195" s="12">
        <f t="shared" si="6"/>
        <v>1569</v>
      </c>
      <c r="I195" s="12">
        <v>758</v>
      </c>
      <c r="J195" s="12">
        <v>25068</v>
      </c>
    </row>
    <row r="196" spans="1:10" x14ac:dyDescent="0.25">
      <c r="A196" s="11" t="s">
        <v>199</v>
      </c>
      <c r="B196" s="11" t="s">
        <v>209</v>
      </c>
      <c r="C196" s="11" t="s">
        <v>229</v>
      </c>
      <c r="D196" s="11">
        <v>41</v>
      </c>
      <c r="E196" s="11">
        <v>7</v>
      </c>
      <c r="F196" s="11">
        <v>4283</v>
      </c>
      <c r="G196" s="11">
        <v>12605</v>
      </c>
      <c r="H196" s="11">
        <f t="shared" si="6"/>
        <v>925</v>
      </c>
      <c r="I196" s="11">
        <v>500</v>
      </c>
      <c r="J196" s="11">
        <v>18313</v>
      </c>
    </row>
    <row r="197" spans="1:10" x14ac:dyDescent="0.25">
      <c r="A197" s="12" t="s">
        <v>199</v>
      </c>
      <c r="B197" s="12" t="s">
        <v>210</v>
      </c>
      <c r="C197" s="12" t="s">
        <v>230</v>
      </c>
      <c r="D197" s="12">
        <v>82</v>
      </c>
      <c r="E197" s="12">
        <v>12</v>
      </c>
      <c r="F197" s="12">
        <v>18453</v>
      </c>
      <c r="G197" s="12">
        <v>14718</v>
      </c>
      <c r="H197" s="12">
        <f t="shared" si="6"/>
        <v>767</v>
      </c>
      <c r="I197" s="12">
        <v>368</v>
      </c>
      <c r="J197" s="12">
        <v>34306</v>
      </c>
    </row>
    <row r="198" spans="1:10" x14ac:dyDescent="0.25">
      <c r="A198" s="11" t="s">
        <v>199</v>
      </c>
      <c r="B198" s="11" t="s">
        <v>211</v>
      </c>
      <c r="C198" s="11" t="s">
        <v>231</v>
      </c>
      <c r="D198" s="11">
        <v>50</v>
      </c>
      <c r="E198" s="11">
        <v>7</v>
      </c>
      <c r="F198" s="11">
        <v>19554</v>
      </c>
      <c r="G198" s="11">
        <v>8046</v>
      </c>
      <c r="H198" s="11">
        <f t="shared" si="6"/>
        <v>548</v>
      </c>
      <c r="I198" s="11">
        <v>234</v>
      </c>
      <c r="J198" s="11">
        <v>28382</v>
      </c>
    </row>
    <row r="199" spans="1:10" x14ac:dyDescent="0.25">
      <c r="A199" s="12" t="s">
        <v>199</v>
      </c>
      <c r="B199" s="12" t="s">
        <v>212</v>
      </c>
      <c r="C199" s="12" t="s">
        <v>231</v>
      </c>
      <c r="D199" s="12">
        <v>52</v>
      </c>
      <c r="E199" s="12">
        <v>7</v>
      </c>
      <c r="F199" s="12">
        <v>20775</v>
      </c>
      <c r="G199" s="12">
        <v>6813</v>
      </c>
      <c r="H199" s="12">
        <f t="shared" si="6"/>
        <v>479</v>
      </c>
      <c r="I199" s="12">
        <v>281</v>
      </c>
      <c r="J199" s="12">
        <v>28348</v>
      </c>
    </row>
    <row r="200" spans="1:10" x14ac:dyDescent="0.25">
      <c r="A200" s="11" t="s">
        <v>199</v>
      </c>
      <c r="B200" s="11" t="s">
        <v>213</v>
      </c>
      <c r="C200" s="11" t="s">
        <v>229</v>
      </c>
      <c r="D200" s="11">
        <v>55</v>
      </c>
      <c r="E200" s="11">
        <v>11</v>
      </c>
      <c r="F200" s="11">
        <v>8639</v>
      </c>
      <c r="G200" s="11">
        <v>10774</v>
      </c>
      <c r="H200" s="11">
        <f t="shared" si="6"/>
        <v>1183</v>
      </c>
      <c r="I200" s="11">
        <v>404</v>
      </c>
      <c r="J200" s="11">
        <v>21000</v>
      </c>
    </row>
    <row r="201" spans="1:10" x14ac:dyDescent="0.25">
      <c r="A201" s="12" t="s">
        <v>199</v>
      </c>
      <c r="B201" s="12" t="s">
        <v>214</v>
      </c>
      <c r="C201" s="12" t="s">
        <v>231</v>
      </c>
      <c r="D201" s="12">
        <v>33</v>
      </c>
      <c r="E201" s="12">
        <v>8</v>
      </c>
      <c r="F201" s="12">
        <v>15202</v>
      </c>
      <c r="G201" s="12">
        <v>4888</v>
      </c>
      <c r="H201" s="12">
        <f t="shared" si="6"/>
        <v>393</v>
      </c>
      <c r="I201" s="12">
        <v>206</v>
      </c>
      <c r="J201" s="12">
        <v>20689</v>
      </c>
    </row>
    <row r="202" spans="1:10" x14ac:dyDescent="0.25">
      <c r="A202" s="11" t="s">
        <v>199</v>
      </c>
      <c r="B202" s="11" t="s">
        <v>215</v>
      </c>
      <c r="C202" s="11" t="s">
        <v>231</v>
      </c>
      <c r="D202" s="11">
        <v>39</v>
      </c>
      <c r="E202" s="11">
        <v>6</v>
      </c>
      <c r="F202" s="11">
        <v>18564</v>
      </c>
      <c r="G202" s="11">
        <v>5597</v>
      </c>
      <c r="H202" s="11">
        <f t="shared" si="6"/>
        <v>472</v>
      </c>
      <c r="I202" s="11">
        <v>316</v>
      </c>
      <c r="J202" s="11">
        <v>24949</v>
      </c>
    </row>
    <row r="203" spans="1:10" x14ac:dyDescent="0.25">
      <c r="A203" s="12" t="s">
        <v>199</v>
      </c>
      <c r="B203" s="12" t="s">
        <v>216</v>
      </c>
      <c r="C203" s="12" t="s">
        <v>230</v>
      </c>
      <c r="D203" s="12">
        <v>62</v>
      </c>
      <c r="E203" s="12">
        <v>14</v>
      </c>
      <c r="F203" s="12">
        <v>13625</v>
      </c>
      <c r="G203" s="12">
        <v>10434</v>
      </c>
      <c r="H203" s="12">
        <f t="shared" si="6"/>
        <v>717</v>
      </c>
      <c r="I203" s="12">
        <v>500</v>
      </c>
      <c r="J203" s="12">
        <v>25276</v>
      </c>
    </row>
    <row r="204" spans="1:10" x14ac:dyDescent="0.25">
      <c r="A204" s="11" t="s">
        <v>199</v>
      </c>
      <c r="B204" s="11" t="s">
        <v>217</v>
      </c>
      <c r="C204" s="11" t="s">
        <v>229</v>
      </c>
      <c r="D204" s="11">
        <v>63</v>
      </c>
      <c r="E204" s="11">
        <v>14</v>
      </c>
      <c r="F204" s="11">
        <v>9375</v>
      </c>
      <c r="G204" s="11">
        <v>13297</v>
      </c>
      <c r="H204" s="11">
        <f t="shared" si="6"/>
        <v>1292</v>
      </c>
      <c r="I204" s="11">
        <v>643</v>
      </c>
      <c r="J204" s="11">
        <v>24607</v>
      </c>
    </row>
    <row r="205" spans="1:10" x14ac:dyDescent="0.25">
      <c r="A205" s="12" t="s">
        <v>199</v>
      </c>
      <c r="B205" s="12" t="s">
        <v>218</v>
      </c>
      <c r="C205" s="12" t="s">
        <v>229</v>
      </c>
      <c r="D205" s="12">
        <v>62</v>
      </c>
      <c r="E205" s="12">
        <v>11</v>
      </c>
      <c r="F205" s="12">
        <v>8931</v>
      </c>
      <c r="G205" s="12">
        <v>13867</v>
      </c>
      <c r="H205" s="12">
        <f t="shared" si="6"/>
        <v>1013</v>
      </c>
      <c r="I205" s="12">
        <v>441</v>
      </c>
      <c r="J205" s="12">
        <v>24252</v>
      </c>
    </row>
    <row r="206" spans="1:10" x14ac:dyDescent="0.25">
      <c r="A206" s="11" t="s">
        <v>199</v>
      </c>
      <c r="B206" s="11" t="s">
        <v>219</v>
      </c>
      <c r="C206" s="11" t="s">
        <v>229</v>
      </c>
      <c r="D206" s="11">
        <v>37</v>
      </c>
      <c r="E206" s="11">
        <v>7</v>
      </c>
      <c r="F206" s="11">
        <v>3596</v>
      </c>
      <c r="G206" s="11">
        <v>9550</v>
      </c>
      <c r="H206" s="11">
        <f t="shared" si="6"/>
        <v>513</v>
      </c>
      <c r="I206" s="11">
        <v>210</v>
      </c>
      <c r="J206" s="11">
        <v>13869</v>
      </c>
    </row>
    <row r="207" spans="1:10" x14ac:dyDescent="0.25">
      <c r="A207" s="12" t="s">
        <v>199</v>
      </c>
      <c r="B207" s="12" t="s">
        <v>220</v>
      </c>
      <c r="C207" s="12" t="s">
        <v>229</v>
      </c>
      <c r="D207" s="12">
        <v>53</v>
      </c>
      <c r="E207" s="12">
        <v>12</v>
      </c>
      <c r="F207" s="12">
        <v>3449</v>
      </c>
      <c r="G207" s="12">
        <v>18392</v>
      </c>
      <c r="H207" s="12">
        <f t="shared" si="6"/>
        <v>541</v>
      </c>
      <c r="I207" s="12">
        <v>377</v>
      </c>
      <c r="J207" s="12">
        <v>22759</v>
      </c>
    </row>
    <row r="208" spans="1:10" x14ac:dyDescent="0.25">
      <c r="A208" s="11" t="s">
        <v>199</v>
      </c>
      <c r="B208" s="11" t="s">
        <v>221</v>
      </c>
      <c r="C208" s="11" t="s">
        <v>229</v>
      </c>
      <c r="D208" s="11">
        <v>51</v>
      </c>
      <c r="E208" s="11">
        <v>10</v>
      </c>
      <c r="F208" s="11">
        <v>2830</v>
      </c>
      <c r="G208" s="11">
        <v>12814</v>
      </c>
      <c r="H208" s="11">
        <f t="shared" ref="H208:H213" si="7">J208-I208-G208-F208</f>
        <v>550</v>
      </c>
      <c r="I208" s="11">
        <v>306</v>
      </c>
      <c r="J208" s="11">
        <v>16500</v>
      </c>
    </row>
    <row r="209" spans="1:10" x14ac:dyDescent="0.25">
      <c r="A209" s="12" t="s">
        <v>199</v>
      </c>
      <c r="B209" s="12" t="s">
        <v>222</v>
      </c>
      <c r="C209" s="12" t="s">
        <v>229</v>
      </c>
      <c r="D209" s="12">
        <v>41</v>
      </c>
      <c r="E209" s="12">
        <v>8</v>
      </c>
      <c r="F209" s="12">
        <v>3120</v>
      </c>
      <c r="G209" s="12">
        <v>9525</v>
      </c>
      <c r="H209" s="12">
        <f t="shared" si="7"/>
        <v>489</v>
      </c>
      <c r="I209" s="12">
        <v>278</v>
      </c>
      <c r="J209" s="12">
        <v>13412</v>
      </c>
    </row>
    <row r="210" spans="1:10" x14ac:dyDescent="0.25">
      <c r="A210" s="11" t="s">
        <v>199</v>
      </c>
      <c r="B210" s="11" t="s">
        <v>223</v>
      </c>
      <c r="C210" s="11" t="s">
        <v>230</v>
      </c>
      <c r="D210" s="11">
        <v>75</v>
      </c>
      <c r="E210" s="11">
        <v>21</v>
      </c>
      <c r="F210" s="11">
        <v>10363</v>
      </c>
      <c r="G210" s="11">
        <v>16470</v>
      </c>
      <c r="H210" s="11">
        <f t="shared" si="7"/>
        <v>546</v>
      </c>
      <c r="I210" s="11">
        <v>396</v>
      </c>
      <c r="J210" s="11">
        <v>27775</v>
      </c>
    </row>
    <row r="211" spans="1:10" x14ac:dyDescent="0.25">
      <c r="A211" s="12" t="s">
        <v>199</v>
      </c>
      <c r="B211" s="12" t="s">
        <v>224</v>
      </c>
      <c r="C211" s="12" t="s">
        <v>229</v>
      </c>
      <c r="D211" s="12">
        <v>54</v>
      </c>
      <c r="E211" s="12">
        <v>15</v>
      </c>
      <c r="F211" s="12">
        <v>5476</v>
      </c>
      <c r="G211" s="12">
        <v>12293</v>
      </c>
      <c r="H211" s="12">
        <f t="shared" si="7"/>
        <v>509</v>
      </c>
      <c r="I211" s="12">
        <v>301</v>
      </c>
      <c r="J211" s="12">
        <v>18579</v>
      </c>
    </row>
    <row r="212" spans="1:10" x14ac:dyDescent="0.25">
      <c r="A212" s="11" t="s">
        <v>199</v>
      </c>
      <c r="B212" s="11" t="s">
        <v>225</v>
      </c>
      <c r="C212" s="11" t="s">
        <v>230</v>
      </c>
      <c r="D212" s="11">
        <v>66</v>
      </c>
      <c r="E212" s="11">
        <v>16</v>
      </c>
      <c r="F212" s="11">
        <v>16407</v>
      </c>
      <c r="G212" s="11">
        <v>13212</v>
      </c>
      <c r="H212" s="11">
        <f t="shared" si="7"/>
        <v>448</v>
      </c>
      <c r="I212" s="11">
        <v>284</v>
      </c>
      <c r="J212" s="11">
        <v>30351</v>
      </c>
    </row>
    <row r="213" spans="1:10" x14ac:dyDescent="0.25">
      <c r="A213" s="17" t="s">
        <v>199</v>
      </c>
      <c r="B213" s="17" t="s">
        <v>226</v>
      </c>
      <c r="C213" s="17" t="s">
        <v>229</v>
      </c>
      <c r="D213" s="17">
        <v>61</v>
      </c>
      <c r="E213" s="17">
        <v>13</v>
      </c>
      <c r="F213" s="17">
        <v>5093</v>
      </c>
      <c r="G213" s="17">
        <v>13491</v>
      </c>
      <c r="H213" s="17">
        <f t="shared" si="7"/>
        <v>542</v>
      </c>
      <c r="I213" s="17">
        <v>339</v>
      </c>
      <c r="J213" s="17">
        <v>19465</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34998626667073579"/>
  </sheetPr>
  <dimension ref="A7:T19"/>
  <sheetViews>
    <sheetView showGridLines="0" tabSelected="1" zoomScale="86" zoomScaleNormal="86" workbookViewId="0">
      <selection activeCell="S7" sqref="S7"/>
    </sheetView>
  </sheetViews>
  <sheetFormatPr defaultRowHeight="15" x14ac:dyDescent="0.25"/>
  <cols>
    <col min="1" max="19" width="9.140625" style="5"/>
    <col min="20" max="20" width="13.5703125" style="5" customWidth="1"/>
    <col min="21" max="16384" width="9.140625" style="5"/>
  </cols>
  <sheetData>
    <row r="7" spans="1:20" x14ac:dyDescent="0.25">
      <c r="T7" s="10"/>
    </row>
    <row r="8" spans="1:20" x14ac:dyDescent="0.25">
      <c r="A8" s="10"/>
      <c r="B8" s="10"/>
      <c r="S8"/>
      <c r="T8"/>
    </row>
    <row r="9" spans="1:20" x14ac:dyDescent="0.25">
      <c r="A9" s="10"/>
      <c r="B9" s="10"/>
      <c r="O9" s="8"/>
      <c r="S9"/>
      <c r="T9"/>
    </row>
    <row r="10" spans="1:20" x14ac:dyDescent="0.25">
      <c r="A10" s="10"/>
      <c r="B10" s="10"/>
      <c r="S10"/>
      <c r="T10"/>
    </row>
    <row r="11" spans="1:20" x14ac:dyDescent="0.25">
      <c r="A11" s="10"/>
      <c r="B11" s="10"/>
      <c r="S11"/>
      <c r="T11"/>
    </row>
    <row r="12" spans="1:20" x14ac:dyDescent="0.25">
      <c r="A12" s="10"/>
      <c r="B12" s="10"/>
      <c r="S12"/>
      <c r="T12"/>
    </row>
    <row r="13" spans="1:20" x14ac:dyDescent="0.25">
      <c r="A13" s="10"/>
      <c r="B13" s="10"/>
      <c r="S13"/>
      <c r="T13"/>
    </row>
    <row r="14" spans="1:20" x14ac:dyDescent="0.25">
      <c r="A14" s="10"/>
      <c r="B14" s="10"/>
      <c r="S14"/>
      <c r="T14"/>
    </row>
    <row r="15" spans="1:20" x14ac:dyDescent="0.25">
      <c r="S15"/>
      <c r="T15"/>
    </row>
    <row r="16" spans="1:20" x14ac:dyDescent="0.25">
      <c r="S16"/>
      <c r="T16"/>
    </row>
    <row r="17" spans="19:20" x14ac:dyDescent="0.25">
      <c r="S17"/>
      <c r="T17"/>
    </row>
    <row r="18" spans="19:20" x14ac:dyDescent="0.25">
      <c r="S18"/>
      <c r="T18"/>
    </row>
    <row r="19" spans="19:20" x14ac:dyDescent="0.25">
      <c r="S19"/>
      <c r="T19"/>
    </row>
  </sheetData>
  <sheetProtection sort="0"/>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C64"/>
  <sheetViews>
    <sheetView topLeftCell="A10" workbookViewId="0">
      <selection activeCell="B21" sqref="B21"/>
    </sheetView>
  </sheetViews>
  <sheetFormatPr defaultRowHeight="15" x14ac:dyDescent="0.25"/>
  <cols>
    <col min="1" max="1" width="20" customWidth="1"/>
    <col min="2" max="2" width="20.85546875" customWidth="1"/>
    <col min="3" max="3" width="22.85546875" customWidth="1"/>
    <col min="4" max="211" width="6" customWidth="1"/>
    <col min="212" max="212" width="11.28515625" bestFit="1" customWidth="1"/>
  </cols>
  <sheetData>
    <row r="4" spans="1:3" x14ac:dyDescent="0.25">
      <c r="A4" s="6" t="s">
        <v>233</v>
      </c>
      <c r="B4" t="s">
        <v>239</v>
      </c>
      <c r="C4" t="s">
        <v>238</v>
      </c>
    </row>
    <row r="5" spans="1:3" x14ac:dyDescent="0.25">
      <c r="A5" s="7" t="s">
        <v>5</v>
      </c>
      <c r="B5" s="4">
        <v>60168</v>
      </c>
      <c r="C5" s="4">
        <v>144107</v>
      </c>
    </row>
    <row r="6" spans="1:3" x14ac:dyDescent="0.25">
      <c r="A6" s="7" t="s">
        <v>21</v>
      </c>
      <c r="B6" s="4">
        <v>204719</v>
      </c>
      <c r="C6" s="4">
        <v>548895</v>
      </c>
    </row>
    <row r="7" spans="1:3" x14ac:dyDescent="0.25">
      <c r="A7" s="7" t="s">
        <v>51</v>
      </c>
      <c r="B7" s="4">
        <v>292938</v>
      </c>
      <c r="C7" s="4">
        <v>296429</v>
      </c>
    </row>
    <row r="8" spans="1:3" x14ac:dyDescent="0.25">
      <c r="A8" s="7" t="s">
        <v>79</v>
      </c>
      <c r="B8" s="4">
        <v>359576</v>
      </c>
      <c r="C8" s="4">
        <v>96063</v>
      </c>
    </row>
    <row r="9" spans="1:3" x14ac:dyDescent="0.25">
      <c r="A9" s="7" t="s">
        <v>97</v>
      </c>
      <c r="B9" s="4">
        <v>334617</v>
      </c>
      <c r="C9" s="4">
        <v>189021</v>
      </c>
    </row>
    <row r="10" spans="1:3" x14ac:dyDescent="0.25">
      <c r="A10" s="7" t="s">
        <v>121</v>
      </c>
      <c r="B10" s="4">
        <v>314541</v>
      </c>
      <c r="C10" s="4">
        <v>220111</v>
      </c>
    </row>
    <row r="11" spans="1:3" x14ac:dyDescent="0.25">
      <c r="A11" s="7" t="s">
        <v>144</v>
      </c>
      <c r="B11" s="4">
        <v>318964</v>
      </c>
      <c r="C11" s="4">
        <v>171438</v>
      </c>
    </row>
    <row r="12" spans="1:3" x14ac:dyDescent="0.25">
      <c r="A12" s="7" t="s">
        <v>171</v>
      </c>
      <c r="B12" s="4">
        <v>111452</v>
      </c>
      <c r="C12" s="4">
        <v>137611</v>
      </c>
    </row>
    <row r="13" spans="1:3" x14ac:dyDescent="0.25">
      <c r="A13" s="7" t="s">
        <v>185</v>
      </c>
      <c r="B13" s="4">
        <v>107278</v>
      </c>
      <c r="C13" s="4">
        <v>90292</v>
      </c>
    </row>
    <row r="14" spans="1:3" x14ac:dyDescent="0.25">
      <c r="A14" s="7" t="s">
        <v>199</v>
      </c>
      <c r="B14" s="4">
        <v>352027</v>
      </c>
      <c r="C14" s="4">
        <v>257960</v>
      </c>
    </row>
    <row r="15" spans="1:3" x14ac:dyDescent="0.25">
      <c r="A15" s="7" t="s">
        <v>234</v>
      </c>
      <c r="B15" s="4">
        <v>2456280</v>
      </c>
      <c r="C15" s="4">
        <v>2151927</v>
      </c>
    </row>
    <row r="18" spans="1:2" x14ac:dyDescent="0.25">
      <c r="A18" s="6" t="s">
        <v>0</v>
      </c>
      <c r="B18" s="3" t="s">
        <v>242</v>
      </c>
    </row>
    <row r="19" spans="1:2" x14ac:dyDescent="0.25">
      <c r="A19" t="s">
        <v>185</v>
      </c>
      <c r="B19" s="9">
        <v>4.4682732731462754E-2</v>
      </c>
    </row>
    <row r="20" spans="1:2" x14ac:dyDescent="0.25">
      <c r="A20" t="s">
        <v>5</v>
      </c>
      <c r="B20" s="9">
        <v>4.4828995410570067E-2</v>
      </c>
    </row>
    <row r="21" spans="1:2" x14ac:dyDescent="0.25">
      <c r="A21" t="s">
        <v>171</v>
      </c>
      <c r="B21" s="9">
        <v>5.7992430235899631E-2</v>
      </c>
    </row>
    <row r="22" spans="1:2" x14ac:dyDescent="0.25">
      <c r="A22" t="s">
        <v>79</v>
      </c>
      <c r="B22" s="9">
        <v>9.7816312641530803E-2</v>
      </c>
    </row>
    <row r="23" spans="1:2" x14ac:dyDescent="0.25">
      <c r="A23" t="s">
        <v>144</v>
      </c>
      <c r="B23" s="9">
        <v>0.1071581450261509</v>
      </c>
    </row>
    <row r="24" spans="1:2" x14ac:dyDescent="0.25">
      <c r="A24" t="s">
        <v>97</v>
      </c>
      <c r="B24" s="9">
        <v>0.11186351237136775</v>
      </c>
    </row>
    <row r="25" spans="1:2" x14ac:dyDescent="0.25">
      <c r="A25" t="s">
        <v>121</v>
      </c>
      <c r="B25" s="9">
        <v>0.11556319486376632</v>
      </c>
    </row>
    <row r="26" spans="1:2" x14ac:dyDescent="0.25">
      <c r="A26" t="s">
        <v>51</v>
      </c>
      <c r="B26" s="9">
        <v>0.12824348837108554</v>
      </c>
    </row>
    <row r="27" spans="1:2" x14ac:dyDescent="0.25">
      <c r="A27" t="s">
        <v>199</v>
      </c>
      <c r="B27" s="9">
        <v>0.13263343168759281</v>
      </c>
    </row>
    <row r="28" spans="1:2" x14ac:dyDescent="0.25">
      <c r="A28" t="s">
        <v>21</v>
      </c>
      <c r="B28" s="9">
        <v>0.15921775666057342</v>
      </c>
    </row>
    <row r="29" spans="1:2" x14ac:dyDescent="0.25">
      <c r="A29" t="s">
        <v>234</v>
      </c>
      <c r="B29" s="9">
        <v>1</v>
      </c>
    </row>
    <row r="33" spans="1:3" x14ac:dyDescent="0.25">
      <c r="A33" s="6" t="s">
        <v>233</v>
      </c>
      <c r="B33" t="s">
        <v>235</v>
      </c>
    </row>
    <row r="34" spans="1:3" x14ac:dyDescent="0.25">
      <c r="A34" s="7" t="s">
        <v>5</v>
      </c>
      <c r="B34" s="4">
        <v>29</v>
      </c>
    </row>
    <row r="35" spans="1:3" x14ac:dyDescent="0.25">
      <c r="A35" s="7" t="s">
        <v>21</v>
      </c>
      <c r="B35" s="4">
        <v>78</v>
      </c>
    </row>
    <row r="36" spans="1:3" x14ac:dyDescent="0.25">
      <c r="A36" s="7" t="s">
        <v>51</v>
      </c>
      <c r="B36" s="4">
        <v>259</v>
      </c>
    </row>
    <row r="37" spans="1:3" x14ac:dyDescent="0.25">
      <c r="A37" s="7" t="s">
        <v>79</v>
      </c>
      <c r="B37" s="4">
        <v>232</v>
      </c>
    </row>
    <row r="38" spans="1:3" x14ac:dyDescent="0.25">
      <c r="A38" s="7" t="s">
        <v>97</v>
      </c>
      <c r="B38" s="4">
        <v>227</v>
      </c>
    </row>
    <row r="39" spans="1:3" x14ac:dyDescent="0.25">
      <c r="A39" s="7" t="s">
        <v>121</v>
      </c>
      <c r="B39" s="4">
        <v>231</v>
      </c>
    </row>
    <row r="40" spans="1:3" x14ac:dyDescent="0.25">
      <c r="A40" s="7" t="s">
        <v>144</v>
      </c>
      <c r="B40" s="4">
        <v>239</v>
      </c>
    </row>
    <row r="41" spans="1:3" x14ac:dyDescent="0.25">
      <c r="A41" s="7" t="s">
        <v>171</v>
      </c>
      <c r="B41" s="4">
        <v>192</v>
      </c>
    </row>
    <row r="42" spans="1:3" x14ac:dyDescent="0.25">
      <c r="A42" s="7" t="s">
        <v>185</v>
      </c>
      <c r="B42" s="4">
        <v>166</v>
      </c>
    </row>
    <row r="43" spans="1:3" x14ac:dyDescent="0.25">
      <c r="A43" s="7" t="s">
        <v>199</v>
      </c>
      <c r="B43" s="4">
        <v>295</v>
      </c>
    </row>
    <row r="44" spans="1:3" x14ac:dyDescent="0.25">
      <c r="A44" s="7" t="s">
        <v>234</v>
      </c>
      <c r="B44" s="4">
        <v>1948</v>
      </c>
    </row>
    <row r="47" spans="1:3" x14ac:dyDescent="0.25">
      <c r="A47" t="s">
        <v>236</v>
      </c>
      <c r="B47" t="s">
        <v>239</v>
      </c>
      <c r="C47" t="s">
        <v>238</v>
      </c>
    </row>
    <row r="48" spans="1:3" x14ac:dyDescent="0.25">
      <c r="A48" s="4">
        <v>167010</v>
      </c>
      <c r="B48" s="4">
        <v>2456280</v>
      </c>
      <c r="C48" s="4">
        <v>2151927</v>
      </c>
    </row>
    <row r="53" spans="1:2" x14ac:dyDescent="0.25">
      <c r="A53" s="6" t="s">
        <v>233</v>
      </c>
      <c r="B53" t="s">
        <v>237</v>
      </c>
    </row>
    <row r="54" spans="1:2" x14ac:dyDescent="0.25">
      <c r="A54" s="7" t="s">
        <v>5</v>
      </c>
      <c r="B54" s="4">
        <v>12</v>
      </c>
    </row>
    <row r="55" spans="1:2" x14ac:dyDescent="0.25">
      <c r="A55" s="7" t="s">
        <v>21</v>
      </c>
      <c r="B55" s="4">
        <v>29</v>
      </c>
    </row>
    <row r="56" spans="1:2" x14ac:dyDescent="0.25">
      <c r="A56" s="7" t="s">
        <v>51</v>
      </c>
      <c r="B56" s="4">
        <v>26</v>
      </c>
    </row>
    <row r="57" spans="1:2" x14ac:dyDescent="0.25">
      <c r="A57" s="7" t="s">
        <v>79</v>
      </c>
      <c r="B57" s="4">
        <v>18</v>
      </c>
    </row>
    <row r="58" spans="1:2" x14ac:dyDescent="0.25">
      <c r="A58" s="7" t="s">
        <v>97</v>
      </c>
      <c r="B58" s="4">
        <v>23</v>
      </c>
    </row>
    <row r="59" spans="1:2" x14ac:dyDescent="0.25">
      <c r="A59" s="7" t="s">
        <v>121</v>
      </c>
      <c r="B59" s="4">
        <v>22</v>
      </c>
    </row>
    <row r="60" spans="1:2" x14ac:dyDescent="0.25">
      <c r="A60" s="7" t="s">
        <v>144</v>
      </c>
      <c r="B60" s="4">
        <v>26</v>
      </c>
    </row>
    <row r="61" spans="1:2" x14ac:dyDescent="0.25">
      <c r="A61" s="7" t="s">
        <v>171</v>
      </c>
      <c r="B61" s="4">
        <v>13</v>
      </c>
    </row>
    <row r="62" spans="1:2" x14ac:dyDescent="0.25">
      <c r="A62" s="7" t="s">
        <v>185</v>
      </c>
      <c r="B62" s="4">
        <v>13</v>
      </c>
    </row>
    <row r="63" spans="1:2" x14ac:dyDescent="0.25">
      <c r="A63" s="7" t="s">
        <v>199</v>
      </c>
      <c r="B63" s="4">
        <v>28</v>
      </c>
    </row>
    <row r="64" spans="1:2" x14ac:dyDescent="0.25">
      <c r="A64" s="7" t="s">
        <v>234</v>
      </c>
      <c r="B64" s="4">
        <v>210</v>
      </c>
    </row>
  </sheetData>
  <pageMargins left="0.7" right="0.7" top="0.75" bottom="0.75" header="0.3" footer="0.3"/>
  <pageSetup orientation="portrait"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Home</vt:lpstr>
      <vt:lpstr>Data</vt:lpstr>
      <vt:lpstr>Dashboard</vt:lpstr>
      <vt:lpstr>Pivot tables</vt:lpstr>
      <vt:lpstr>Data_table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miss blu</dc:creator>
  <cp:lastModifiedBy>miss blu</cp:lastModifiedBy>
  <dcterms:created xsi:type="dcterms:W3CDTF">2022-06-14T00:09:28Z</dcterms:created>
  <dcterms:modified xsi:type="dcterms:W3CDTF">2022-07-30T00:00:25Z</dcterms:modified>
</cp:coreProperties>
</file>